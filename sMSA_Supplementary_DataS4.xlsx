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87z649\Documents\DATA\Beck, Ashley\22_MRE\suppFiles\January 2026\"/>
    </mc:Choice>
  </mc:AlternateContent>
  <xr:revisionPtr revIDLastSave="0" documentId="13_ncr:1_{0EC8F12F-A81F-4DB5-AEED-213558B2198C}" xr6:coauthVersionLast="47" xr6:coauthVersionMax="47" xr10:uidLastSave="{00000000-0000-0000-0000-000000000000}"/>
  <bookViews>
    <workbookView xWindow="3810" yWindow="3810" windowWidth="21600" windowHeight="11385" xr2:uid="{C9082305-17D1-4869-843C-4336A5FCDFA4}"/>
  </bookViews>
  <sheets>
    <sheet name="DataS4" sheetId="20" r:id="rId1"/>
    <sheet name="model" sheetId="12" r:id="rId2"/>
    <sheet name="model balance" sheetId="2" r:id="rId3"/>
    <sheet name="MRE_parameters" sheetId="17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17" l="1"/>
  <c r="D11" i="17"/>
  <c r="D12" i="17"/>
  <c r="D13" i="17"/>
  <c r="D14" i="17"/>
  <c r="D15" i="17"/>
  <c r="D16" i="17"/>
  <c r="D17" i="17"/>
  <c r="D18" i="17"/>
  <c r="D19" i="17"/>
  <c r="D20" i="17"/>
  <c r="D21" i="17"/>
  <c r="D22" i="17"/>
  <c r="D23" i="17"/>
  <c r="D24" i="17"/>
  <c r="D25" i="17"/>
  <c r="D26" i="17"/>
  <c r="D27" i="17"/>
  <c r="D28" i="17"/>
  <c r="D29" i="17"/>
  <c r="D9" i="17"/>
  <c r="C10" i="17"/>
  <c r="C11" i="17"/>
  <c r="C12" i="17"/>
  <c r="C13" i="17"/>
  <c r="C14" i="17"/>
  <c r="C15" i="17"/>
  <c r="C16" i="17"/>
  <c r="C17" i="17"/>
  <c r="C18" i="17"/>
  <c r="C19" i="17"/>
  <c r="C20" i="17"/>
  <c r="C21" i="17"/>
  <c r="C22" i="17"/>
  <c r="C23" i="17"/>
  <c r="C24" i="17"/>
  <c r="C25" i="17"/>
  <c r="C26" i="17"/>
  <c r="C27" i="17"/>
  <c r="C28" i="17"/>
  <c r="C29" i="17"/>
  <c r="C9" i="17"/>
  <c r="F9" i="17"/>
  <c r="F3" i="17"/>
  <c r="G9" i="17" l="1"/>
  <c r="F10" i="17"/>
  <c r="G10" i="17"/>
  <c r="F11" i="17"/>
  <c r="G11" i="17"/>
  <c r="F12" i="17"/>
  <c r="G12" i="17"/>
  <c r="F13" i="17"/>
  <c r="G13" i="17"/>
  <c r="F14" i="17"/>
  <c r="G14" i="17"/>
  <c r="F15" i="17"/>
  <c r="G15" i="17"/>
  <c r="F16" i="17"/>
  <c r="G16" i="17"/>
  <c r="F17" i="17"/>
  <c r="G17" i="17"/>
  <c r="F18" i="17"/>
  <c r="G18" i="17"/>
  <c r="F19" i="17"/>
  <c r="G19" i="17"/>
  <c r="F20" i="17"/>
  <c r="G20" i="17"/>
  <c r="F21" i="17"/>
  <c r="G21" i="17"/>
  <c r="F22" i="17"/>
  <c r="G22" i="17"/>
  <c r="F23" i="17"/>
  <c r="G23" i="17"/>
  <c r="F24" i="17"/>
  <c r="G24" i="17"/>
  <c r="F25" i="17"/>
  <c r="G25" i="17"/>
  <c r="F26" i="17"/>
  <c r="G26" i="17"/>
  <c r="F27" i="17"/>
  <c r="G27" i="17"/>
  <c r="F28" i="17"/>
  <c r="G28" i="17"/>
  <c r="F29" i="17"/>
  <c r="G29" i="17"/>
  <c r="N23" i="17"/>
  <c r="N24" i="17"/>
  <c r="N25" i="17"/>
  <c r="N26" i="17"/>
  <c r="N27" i="17"/>
  <c r="N28" i="17"/>
  <c r="N29" i="17"/>
  <c r="N30" i="17"/>
  <c r="N31" i="17"/>
  <c r="N32" i="17"/>
  <c r="N22" i="17"/>
  <c r="M23" i="17"/>
  <c r="M24" i="17"/>
  <c r="M25" i="17"/>
  <c r="M26" i="17"/>
  <c r="M27" i="17"/>
  <c r="M28" i="17"/>
  <c r="O28" i="17" s="1"/>
  <c r="M29" i="17"/>
  <c r="M30" i="17"/>
  <c r="M31" i="17"/>
  <c r="M32" i="17"/>
  <c r="M22" i="17"/>
  <c r="O31" i="17" l="1"/>
  <c r="T31" i="17"/>
  <c r="P23" i="17"/>
  <c r="T23" i="17"/>
  <c r="O30" i="17"/>
  <c r="T30" i="17"/>
  <c r="P29" i="17"/>
  <c r="T29" i="17"/>
  <c r="P28" i="17"/>
  <c r="T28" i="17"/>
  <c r="P27" i="17"/>
  <c r="T27" i="17"/>
  <c r="P26" i="17"/>
  <c r="T26" i="17"/>
  <c r="Q22" i="17"/>
  <c r="T22" i="17"/>
  <c r="P25" i="17"/>
  <c r="T25" i="17"/>
  <c r="O32" i="17"/>
  <c r="T32" i="17"/>
  <c r="P24" i="17"/>
  <c r="T24" i="17"/>
  <c r="S28" i="17"/>
  <c r="S27" i="17"/>
  <c r="S26" i="17"/>
  <c r="S22" i="17"/>
  <c r="S25" i="17"/>
  <c r="S24" i="17"/>
  <c r="S32" i="17"/>
  <c r="P32" i="17"/>
  <c r="Q30" i="17"/>
  <c r="S31" i="17"/>
  <c r="S23" i="17"/>
  <c r="Q32" i="17"/>
  <c r="Q24" i="17"/>
  <c r="S30" i="17"/>
  <c r="S29" i="17"/>
  <c r="R29" i="17"/>
  <c r="R28" i="17"/>
  <c r="Q31" i="17"/>
  <c r="Q23" i="17"/>
  <c r="P22" i="17"/>
  <c r="R26" i="17"/>
  <c r="Q29" i="17"/>
  <c r="R22" i="17"/>
  <c r="R25" i="17"/>
  <c r="Q28" i="17"/>
  <c r="R32" i="17"/>
  <c r="R24" i="17"/>
  <c r="Q27" i="17"/>
  <c r="O29" i="17"/>
  <c r="R27" i="17"/>
  <c r="R31" i="17"/>
  <c r="R23" i="17"/>
  <c r="Q26" i="17"/>
  <c r="R30" i="17"/>
  <c r="Q25" i="17"/>
  <c r="P31" i="17"/>
  <c r="O27" i="17"/>
  <c r="P30" i="17"/>
  <c r="O26" i="17"/>
  <c r="O22" i="17"/>
  <c r="O25" i="17"/>
  <c r="O24" i="17"/>
  <c r="O23" i="17"/>
  <c r="DD334" i="2" l="1"/>
  <c r="DC334" i="2"/>
  <c r="DC333" i="2"/>
  <c r="DD333" i="2" s="1"/>
  <c r="DD332" i="2"/>
  <c r="DC332" i="2"/>
  <c r="DD331" i="2"/>
  <c r="DC331" i="2"/>
  <c r="DD330" i="2"/>
  <c r="DC330" i="2"/>
  <c r="DC329" i="2"/>
  <c r="DD329" i="2" s="1"/>
  <c r="DD328" i="2"/>
  <c r="DC328" i="2"/>
  <c r="DD327" i="2"/>
  <c r="DC327" i="2"/>
  <c r="DD326" i="2"/>
  <c r="DC326" i="2"/>
  <c r="DC325" i="2"/>
  <c r="DD325" i="2" s="1"/>
  <c r="CV100" i="2"/>
  <c r="DA100" i="2" s="1"/>
  <c r="CU100" i="2"/>
  <c r="DL99" i="2"/>
  <c r="DK99" i="2"/>
  <c r="DJ99" i="2"/>
  <c r="DI99" i="2"/>
  <c r="DH99" i="2"/>
  <c r="DG99" i="2"/>
  <c r="DF99" i="2"/>
  <c r="CZ99" i="2"/>
  <c r="CZ100" i="2" s="1"/>
  <c r="CY99" i="2"/>
  <c r="CY100" i="2" s="1"/>
  <c r="CX99" i="2"/>
  <c r="CX100" i="2" s="1"/>
  <c r="CW99" i="2"/>
  <c r="CW100" i="2" s="1"/>
  <c r="CV99" i="2"/>
  <c r="DL98" i="2"/>
  <c r="DK98" i="2"/>
  <c r="DJ98" i="2"/>
  <c r="DI98" i="2"/>
  <c r="DH98" i="2"/>
  <c r="DG98" i="2"/>
  <c r="DF98" i="2"/>
  <c r="DL97" i="2"/>
  <c r="DK97" i="2"/>
  <c r="DJ97" i="2"/>
  <c r="DI97" i="2"/>
  <c r="DH97" i="2"/>
  <c r="DG97" i="2"/>
  <c r="DF97" i="2"/>
  <c r="DL96" i="2"/>
  <c r="DK96" i="2"/>
  <c r="DJ96" i="2"/>
  <c r="DI96" i="2"/>
  <c r="DH96" i="2"/>
  <c r="DG96" i="2"/>
  <c r="DF96" i="2"/>
  <c r="DL95" i="2"/>
  <c r="DK95" i="2"/>
  <c r="DJ95" i="2"/>
  <c r="DI95" i="2"/>
  <c r="DH95" i="2"/>
  <c r="DG95" i="2"/>
  <c r="DF95" i="2"/>
  <c r="DL94" i="2"/>
  <c r="DK94" i="2"/>
  <c r="DJ94" i="2"/>
  <c r="DI94" i="2"/>
  <c r="DH94" i="2"/>
  <c r="DG94" i="2"/>
  <c r="DF94" i="2"/>
  <c r="DL93" i="2"/>
  <c r="DK93" i="2"/>
  <c r="DJ93" i="2"/>
  <c r="DI93" i="2"/>
  <c r="DH93" i="2"/>
  <c r="DG93" i="2"/>
  <c r="DF93" i="2"/>
  <c r="DL92" i="2"/>
  <c r="DK92" i="2"/>
  <c r="DJ92" i="2"/>
  <c r="DI92" i="2"/>
  <c r="DH92" i="2"/>
  <c r="DG92" i="2"/>
  <c r="DF92" i="2"/>
  <c r="DL91" i="2"/>
  <c r="DK91" i="2"/>
  <c r="DJ91" i="2"/>
  <c r="DI91" i="2"/>
  <c r="DH91" i="2"/>
  <c r="DG91" i="2"/>
  <c r="DF91" i="2"/>
  <c r="DL90" i="2"/>
  <c r="DK90" i="2"/>
  <c r="DJ90" i="2"/>
  <c r="DI90" i="2"/>
  <c r="DH90" i="2"/>
  <c r="DG90" i="2"/>
  <c r="DF90" i="2"/>
  <c r="DL89" i="2"/>
  <c r="DK89" i="2"/>
  <c r="DJ89" i="2"/>
  <c r="DI89" i="2"/>
  <c r="DH89" i="2"/>
  <c r="DG89" i="2"/>
  <c r="DF89" i="2"/>
  <c r="DL88" i="2"/>
  <c r="DK88" i="2"/>
  <c r="DJ88" i="2"/>
  <c r="DI88" i="2"/>
  <c r="DH88" i="2"/>
  <c r="DG88" i="2"/>
  <c r="DF88" i="2"/>
  <c r="DD88" i="2"/>
  <c r="DC88" i="2"/>
  <c r="DL87" i="2"/>
  <c r="DK87" i="2"/>
  <c r="DJ87" i="2"/>
  <c r="DI87" i="2"/>
  <c r="DH87" i="2"/>
  <c r="DG87" i="2"/>
  <c r="DF87" i="2"/>
  <c r="DD87" i="2"/>
  <c r="DC87" i="2"/>
  <c r="DL86" i="2"/>
  <c r="DK86" i="2"/>
  <c r="DJ86" i="2"/>
  <c r="DI86" i="2"/>
  <c r="DH86" i="2"/>
  <c r="DG86" i="2"/>
  <c r="DF86" i="2"/>
  <c r="DD86" i="2"/>
  <c r="DC86" i="2"/>
  <c r="DL85" i="2"/>
  <c r="DK85" i="2"/>
  <c r="DJ85" i="2"/>
  <c r="DI85" i="2"/>
  <c r="DH85" i="2"/>
  <c r="DG85" i="2"/>
  <c r="DF85" i="2"/>
  <c r="DC85" i="2"/>
  <c r="DD85" i="2" s="1"/>
  <c r="DL84" i="2"/>
  <c r="DK84" i="2"/>
  <c r="DJ84" i="2"/>
  <c r="DI84" i="2"/>
  <c r="DH84" i="2"/>
  <c r="DG84" i="2"/>
  <c r="DF84" i="2"/>
  <c r="DC84" i="2"/>
  <c r="DD84" i="2" s="1"/>
  <c r="DL83" i="2"/>
  <c r="DK83" i="2"/>
  <c r="DJ83" i="2"/>
  <c r="DI83" i="2"/>
  <c r="DH83" i="2"/>
  <c r="DG83" i="2"/>
  <c r="DF83" i="2"/>
  <c r="DD83" i="2"/>
  <c r="DC83" i="2"/>
  <c r="DL82" i="2"/>
  <c r="DK82" i="2"/>
  <c r="DJ82" i="2"/>
  <c r="DI82" i="2"/>
  <c r="DH82" i="2"/>
  <c r="DG82" i="2"/>
  <c r="DF82" i="2"/>
  <c r="DD82" i="2"/>
  <c r="DC82" i="2"/>
  <c r="DL81" i="2"/>
  <c r="DK81" i="2"/>
  <c r="DJ81" i="2"/>
  <c r="DI81" i="2"/>
  <c r="DH81" i="2"/>
  <c r="DG81" i="2"/>
  <c r="DF81" i="2"/>
  <c r="DC81" i="2"/>
  <c r="DD81" i="2" s="1"/>
  <c r="DL80" i="2"/>
  <c r="DK80" i="2"/>
  <c r="DJ80" i="2"/>
  <c r="DI80" i="2"/>
  <c r="DH80" i="2"/>
  <c r="DG80" i="2"/>
  <c r="DF80" i="2"/>
  <c r="DD80" i="2"/>
  <c r="DL79" i="2"/>
  <c r="DK79" i="2"/>
  <c r="DJ79" i="2"/>
  <c r="DI79" i="2"/>
  <c r="DH79" i="2"/>
  <c r="DG79" i="2"/>
  <c r="DF79" i="2"/>
  <c r="DD79" i="2"/>
  <c r="DC79" i="2"/>
  <c r="DL78" i="2"/>
  <c r="DK78" i="2"/>
  <c r="DJ78" i="2"/>
  <c r="DI78" i="2"/>
  <c r="DH78" i="2"/>
  <c r="DG78" i="2"/>
  <c r="DF78" i="2"/>
  <c r="DD78" i="2"/>
  <c r="DC78" i="2"/>
  <c r="DL77" i="2"/>
  <c r="DK77" i="2"/>
  <c r="DJ77" i="2"/>
  <c r="DI77" i="2"/>
  <c r="DH77" i="2"/>
  <c r="DG77" i="2"/>
  <c r="DF77" i="2"/>
  <c r="DD77" i="2"/>
  <c r="DC77" i="2"/>
  <c r="DL76" i="2"/>
  <c r="DK76" i="2"/>
  <c r="DJ76" i="2"/>
  <c r="DI76" i="2"/>
  <c r="DH76" i="2"/>
  <c r="DG76" i="2"/>
  <c r="DF76" i="2"/>
  <c r="DC76" i="2"/>
  <c r="DD76" i="2" s="1"/>
  <c r="DL75" i="2"/>
  <c r="DK75" i="2"/>
  <c r="DJ75" i="2"/>
  <c r="DI75" i="2"/>
  <c r="DH75" i="2"/>
  <c r="DG75" i="2"/>
  <c r="DF75" i="2"/>
  <c r="DC75" i="2"/>
  <c r="DD75" i="2" s="1"/>
  <c r="DL74" i="2"/>
  <c r="DK74" i="2"/>
  <c r="DJ74" i="2"/>
  <c r="DI74" i="2"/>
  <c r="DH74" i="2"/>
  <c r="DG74" i="2"/>
  <c r="DF74" i="2"/>
  <c r="DD74" i="2"/>
  <c r="DC74" i="2"/>
  <c r="DL73" i="2"/>
  <c r="DK73" i="2"/>
  <c r="DJ73" i="2"/>
  <c r="DI73" i="2"/>
  <c r="DH73" i="2"/>
  <c r="DG73" i="2"/>
  <c r="DF73" i="2"/>
  <c r="DD73" i="2"/>
  <c r="DC73" i="2"/>
  <c r="DL72" i="2"/>
  <c r="DK72" i="2"/>
  <c r="DJ72" i="2"/>
  <c r="DI72" i="2"/>
  <c r="DH72" i="2"/>
  <c r="DG72" i="2"/>
  <c r="DF72" i="2"/>
  <c r="DC72" i="2"/>
  <c r="DD72" i="2" s="1"/>
  <c r="DL71" i="2"/>
  <c r="DK71" i="2"/>
  <c r="DJ71" i="2"/>
  <c r="DI71" i="2"/>
  <c r="DH71" i="2"/>
  <c r="DG71" i="2"/>
  <c r="DF71" i="2"/>
  <c r="DD71" i="2"/>
  <c r="DC71" i="2"/>
  <c r="DL70" i="2"/>
  <c r="DK70" i="2"/>
  <c r="DJ70" i="2"/>
  <c r="DI70" i="2"/>
  <c r="DH70" i="2"/>
  <c r="DG70" i="2"/>
  <c r="DF70" i="2"/>
  <c r="DD70" i="2"/>
  <c r="DC70" i="2"/>
  <c r="DL69" i="2"/>
  <c r="DK69" i="2"/>
  <c r="DJ69" i="2"/>
  <c r="DI69" i="2"/>
  <c r="DH69" i="2"/>
  <c r="DG69" i="2"/>
  <c r="DF69" i="2"/>
  <c r="DD69" i="2"/>
  <c r="DC69" i="2"/>
  <c r="DL68" i="2"/>
  <c r="DK68" i="2"/>
  <c r="DJ68" i="2"/>
  <c r="DI68" i="2"/>
  <c r="DH68" i="2"/>
  <c r="DG68" i="2"/>
  <c r="DF68" i="2"/>
  <c r="DC68" i="2"/>
  <c r="DD68" i="2" s="1"/>
  <c r="DL67" i="2"/>
  <c r="DK67" i="2"/>
  <c r="DJ67" i="2"/>
  <c r="DI67" i="2"/>
  <c r="DH67" i="2"/>
  <c r="DG67" i="2"/>
  <c r="DF67" i="2"/>
  <c r="DC67" i="2"/>
  <c r="DD67" i="2" s="1"/>
  <c r="DL66" i="2"/>
  <c r="DK66" i="2"/>
  <c r="DJ66" i="2"/>
  <c r="DI66" i="2"/>
  <c r="DH66" i="2"/>
  <c r="DG66" i="2"/>
  <c r="DF66" i="2"/>
  <c r="DD66" i="2"/>
  <c r="DC66" i="2"/>
  <c r="DL65" i="2"/>
  <c r="DK65" i="2"/>
  <c r="DJ65" i="2"/>
  <c r="DI65" i="2"/>
  <c r="DH65" i="2"/>
  <c r="DG65" i="2"/>
  <c r="DF65" i="2"/>
  <c r="DD65" i="2"/>
  <c r="DC65" i="2"/>
  <c r="DL64" i="2"/>
  <c r="DK64" i="2"/>
  <c r="DJ64" i="2"/>
  <c r="DI64" i="2"/>
  <c r="DH64" i="2"/>
  <c r="DG64" i="2"/>
  <c r="DF64" i="2"/>
  <c r="DC64" i="2"/>
  <c r="DD64" i="2" s="1"/>
  <c r="DL63" i="2"/>
  <c r="DK63" i="2"/>
  <c r="DJ63" i="2"/>
  <c r="DI63" i="2"/>
  <c r="DH63" i="2"/>
  <c r="DG63" i="2"/>
  <c r="DF63" i="2"/>
  <c r="DD63" i="2"/>
  <c r="DC63" i="2"/>
  <c r="DL62" i="2"/>
  <c r="DK62" i="2"/>
  <c r="DJ62" i="2"/>
  <c r="DI62" i="2"/>
  <c r="DH62" i="2"/>
  <c r="DG62" i="2"/>
  <c r="DF62" i="2"/>
  <c r="DC62" i="2"/>
  <c r="DD62" i="2" s="1"/>
  <c r="DL61" i="2"/>
  <c r="DK61" i="2"/>
  <c r="DJ61" i="2"/>
  <c r="DI61" i="2"/>
  <c r="DH61" i="2"/>
  <c r="DG61" i="2"/>
  <c r="DF61" i="2"/>
  <c r="DD61" i="2"/>
  <c r="DC61" i="2"/>
  <c r="DL60" i="2"/>
  <c r="DK60" i="2"/>
  <c r="DJ60" i="2"/>
  <c r="DI60" i="2"/>
  <c r="DH60" i="2"/>
  <c r="DG60" i="2"/>
  <c r="DF60" i="2"/>
  <c r="DC60" i="2"/>
  <c r="DD60" i="2" s="1"/>
  <c r="DL59" i="2"/>
  <c r="DK59" i="2"/>
  <c r="DJ59" i="2"/>
  <c r="DI59" i="2"/>
  <c r="DH59" i="2"/>
  <c r="DG59" i="2"/>
  <c r="DF59" i="2"/>
  <c r="DC59" i="2"/>
  <c r="DD59" i="2" s="1"/>
  <c r="DL58" i="2"/>
  <c r="DK58" i="2"/>
  <c r="DJ58" i="2"/>
  <c r="DI58" i="2"/>
  <c r="DH58" i="2"/>
  <c r="DG58" i="2"/>
  <c r="DF58" i="2"/>
  <c r="DD58" i="2"/>
  <c r="DC58" i="2"/>
  <c r="DL57" i="2"/>
  <c r="DK57" i="2"/>
  <c r="DJ57" i="2"/>
  <c r="DI57" i="2"/>
  <c r="DH57" i="2"/>
  <c r="DG57" i="2"/>
  <c r="DF57" i="2"/>
  <c r="DD57" i="2"/>
  <c r="DC57" i="2"/>
  <c r="DL56" i="2"/>
  <c r="DK56" i="2"/>
  <c r="DJ56" i="2"/>
  <c r="DI56" i="2"/>
  <c r="DH56" i="2"/>
  <c r="DG56" i="2"/>
  <c r="DF56" i="2"/>
  <c r="DC56" i="2"/>
  <c r="DD56" i="2" s="1"/>
  <c r="DL55" i="2"/>
  <c r="DK55" i="2"/>
  <c r="DJ55" i="2"/>
  <c r="DI55" i="2"/>
  <c r="DH55" i="2"/>
  <c r="DG55" i="2"/>
  <c r="DF55" i="2"/>
  <c r="DD55" i="2"/>
  <c r="DC55" i="2"/>
  <c r="DL54" i="2"/>
  <c r="DK54" i="2"/>
  <c r="DJ54" i="2"/>
  <c r="DI54" i="2"/>
  <c r="DH54" i="2"/>
  <c r="DG54" i="2"/>
  <c r="DF54" i="2"/>
  <c r="DC54" i="2"/>
  <c r="DD54" i="2" s="1"/>
  <c r="DL53" i="2"/>
  <c r="DK53" i="2"/>
  <c r="DJ53" i="2"/>
  <c r="DI53" i="2"/>
  <c r="DH53" i="2"/>
  <c r="DG53" i="2"/>
  <c r="DF53" i="2"/>
  <c r="DD53" i="2"/>
  <c r="DC53" i="2"/>
  <c r="DL52" i="2"/>
  <c r="DK52" i="2"/>
  <c r="DJ52" i="2"/>
  <c r="DI52" i="2"/>
  <c r="DH52" i="2"/>
  <c r="DG52" i="2"/>
  <c r="DF52" i="2"/>
  <c r="DC52" i="2"/>
  <c r="DD52" i="2" s="1"/>
  <c r="DL51" i="2"/>
  <c r="DK51" i="2"/>
  <c r="DJ51" i="2"/>
  <c r="DI51" i="2"/>
  <c r="DH51" i="2"/>
  <c r="DG51" i="2"/>
  <c r="DF51" i="2"/>
  <c r="DC51" i="2"/>
  <c r="DD51" i="2" s="1"/>
  <c r="DL50" i="2"/>
  <c r="DK50" i="2"/>
  <c r="DJ50" i="2"/>
  <c r="DI50" i="2"/>
  <c r="DH50" i="2"/>
  <c r="DG50" i="2"/>
  <c r="DF50" i="2"/>
  <c r="DD50" i="2"/>
  <c r="DC50" i="2"/>
  <c r="DL49" i="2"/>
  <c r="DK49" i="2"/>
  <c r="DJ49" i="2"/>
  <c r="DI49" i="2"/>
  <c r="DH49" i="2"/>
  <c r="DG49" i="2"/>
  <c r="DF49" i="2"/>
  <c r="DD49" i="2"/>
  <c r="DC49" i="2"/>
  <c r="DL48" i="2"/>
  <c r="DK48" i="2"/>
  <c r="DJ48" i="2"/>
  <c r="DI48" i="2"/>
  <c r="DH48" i="2"/>
  <c r="DG48" i="2"/>
  <c r="DF48" i="2"/>
  <c r="DC48" i="2"/>
  <c r="DD48" i="2" s="1"/>
  <c r="DL47" i="2"/>
  <c r="DK47" i="2"/>
  <c r="DJ47" i="2"/>
  <c r="DI47" i="2"/>
  <c r="DH47" i="2"/>
  <c r="DG47" i="2"/>
  <c r="DF47" i="2"/>
  <c r="DD47" i="2"/>
  <c r="DC47" i="2"/>
  <c r="DL46" i="2"/>
  <c r="DK46" i="2"/>
  <c r="DJ46" i="2"/>
  <c r="DI46" i="2"/>
  <c r="DH46" i="2"/>
  <c r="DG46" i="2"/>
  <c r="DF46" i="2"/>
  <c r="DC46" i="2"/>
  <c r="DD46" i="2" s="1"/>
  <c r="DL45" i="2"/>
  <c r="DK45" i="2"/>
  <c r="DJ45" i="2"/>
  <c r="DI45" i="2"/>
  <c r="DH45" i="2"/>
  <c r="DG45" i="2"/>
  <c r="DF45" i="2"/>
  <c r="DD45" i="2"/>
  <c r="DC45" i="2"/>
  <c r="DL44" i="2"/>
  <c r="DK44" i="2"/>
  <c r="DJ44" i="2"/>
  <c r="DI44" i="2"/>
  <c r="DH44" i="2"/>
  <c r="DG44" i="2"/>
  <c r="DF44" i="2"/>
  <c r="DC44" i="2"/>
  <c r="DD44" i="2" s="1"/>
  <c r="DL43" i="2"/>
  <c r="DK43" i="2"/>
  <c r="DJ43" i="2"/>
  <c r="DI43" i="2"/>
  <c r="DH43" i="2"/>
  <c r="DG43" i="2"/>
  <c r="DF43" i="2"/>
  <c r="DC43" i="2"/>
  <c r="DD43" i="2" s="1"/>
  <c r="DL42" i="2"/>
  <c r="DK42" i="2"/>
  <c r="DJ42" i="2"/>
  <c r="DI42" i="2"/>
  <c r="DH42" i="2"/>
  <c r="DG42" i="2"/>
  <c r="DF42" i="2"/>
  <c r="DD42" i="2"/>
  <c r="DC42" i="2"/>
  <c r="DL41" i="2"/>
  <c r="DK41" i="2"/>
  <c r="DJ41" i="2"/>
  <c r="DI41" i="2"/>
  <c r="DH41" i="2"/>
  <c r="DG41" i="2"/>
  <c r="DF41" i="2"/>
  <c r="DD41" i="2"/>
  <c r="DC41" i="2"/>
  <c r="DL40" i="2"/>
  <c r="DK40" i="2"/>
  <c r="DJ40" i="2"/>
  <c r="DI40" i="2"/>
  <c r="DH40" i="2"/>
  <c r="DG40" i="2"/>
  <c r="DF40" i="2"/>
  <c r="DC40" i="2"/>
  <c r="DD40" i="2" s="1"/>
  <c r="DL39" i="2"/>
  <c r="DK39" i="2"/>
  <c r="DJ39" i="2"/>
  <c r="DI39" i="2"/>
  <c r="DH39" i="2"/>
  <c r="DG39" i="2"/>
  <c r="DF39" i="2"/>
  <c r="DD39" i="2"/>
  <c r="DC39" i="2"/>
  <c r="DL38" i="2"/>
  <c r="DK38" i="2"/>
  <c r="DJ38" i="2"/>
  <c r="DI38" i="2"/>
  <c r="DH38" i="2"/>
  <c r="DG38" i="2"/>
  <c r="DF38" i="2"/>
  <c r="DC38" i="2"/>
  <c r="DD38" i="2" s="1"/>
  <c r="DL37" i="2"/>
  <c r="DK37" i="2"/>
  <c r="DJ37" i="2"/>
  <c r="DI37" i="2"/>
  <c r="DH37" i="2"/>
  <c r="DG37" i="2"/>
  <c r="DF37" i="2"/>
  <c r="DD37" i="2"/>
  <c r="DC37" i="2"/>
  <c r="DL36" i="2"/>
  <c r="DK36" i="2"/>
  <c r="DJ36" i="2"/>
  <c r="DI36" i="2"/>
  <c r="DH36" i="2"/>
  <c r="DG36" i="2"/>
  <c r="DF36" i="2"/>
  <c r="DC36" i="2"/>
  <c r="DD36" i="2" s="1"/>
  <c r="DL35" i="2"/>
  <c r="DK35" i="2"/>
  <c r="DJ35" i="2"/>
  <c r="DI35" i="2"/>
  <c r="DH35" i="2"/>
  <c r="DG35" i="2"/>
  <c r="DF35" i="2"/>
  <c r="DC35" i="2"/>
  <c r="DD35" i="2" s="1"/>
  <c r="DL34" i="2"/>
  <c r="DK34" i="2"/>
  <c r="DJ34" i="2"/>
  <c r="DI34" i="2"/>
  <c r="DH34" i="2"/>
  <c r="DG34" i="2"/>
  <c r="DF34" i="2"/>
  <c r="DD34" i="2"/>
  <c r="DC34" i="2"/>
  <c r="DL33" i="2"/>
  <c r="DK33" i="2"/>
  <c r="DJ33" i="2"/>
  <c r="DI33" i="2"/>
  <c r="DH33" i="2"/>
  <c r="DG33" i="2"/>
  <c r="DF33" i="2"/>
  <c r="DD33" i="2"/>
  <c r="DC33" i="2"/>
  <c r="DL32" i="2"/>
  <c r="DK32" i="2"/>
  <c r="DJ32" i="2"/>
  <c r="DI32" i="2"/>
  <c r="DH32" i="2"/>
  <c r="DG32" i="2"/>
  <c r="DF32" i="2"/>
  <c r="DC32" i="2"/>
  <c r="DD32" i="2" s="1"/>
  <c r="DL31" i="2"/>
  <c r="DK31" i="2"/>
  <c r="DJ31" i="2"/>
  <c r="DI31" i="2"/>
  <c r="DH31" i="2"/>
  <c r="DG31" i="2"/>
  <c r="DF31" i="2"/>
  <c r="DD31" i="2"/>
  <c r="DC31" i="2"/>
  <c r="DL30" i="2"/>
  <c r="DK30" i="2"/>
  <c r="DJ30" i="2"/>
  <c r="DI30" i="2"/>
  <c r="DH30" i="2"/>
  <c r="DG30" i="2"/>
  <c r="DF30" i="2"/>
  <c r="DC30" i="2"/>
  <c r="DD30" i="2" s="1"/>
  <c r="DL29" i="2"/>
  <c r="DK29" i="2"/>
  <c r="DJ29" i="2"/>
  <c r="DI29" i="2"/>
  <c r="DH29" i="2"/>
  <c r="DG29" i="2"/>
  <c r="DF29" i="2"/>
  <c r="DD29" i="2"/>
  <c r="DC29" i="2"/>
  <c r="DL28" i="2"/>
  <c r="DK28" i="2"/>
  <c r="DJ28" i="2"/>
  <c r="DI28" i="2"/>
  <c r="DH28" i="2"/>
  <c r="DG28" i="2"/>
  <c r="DF28" i="2"/>
  <c r="DC28" i="2"/>
  <c r="DD28" i="2" s="1"/>
  <c r="DL27" i="2"/>
  <c r="DK27" i="2"/>
  <c r="DJ27" i="2"/>
  <c r="DI27" i="2"/>
  <c r="DH27" i="2"/>
  <c r="DG27" i="2"/>
  <c r="DF27" i="2"/>
  <c r="DC27" i="2"/>
  <c r="DD27" i="2" s="1"/>
  <c r="DL26" i="2"/>
  <c r="DK26" i="2"/>
  <c r="DJ26" i="2"/>
  <c r="DI26" i="2"/>
  <c r="DH26" i="2"/>
  <c r="DG26" i="2"/>
  <c r="DF26" i="2"/>
  <c r="DD26" i="2"/>
  <c r="DC26" i="2"/>
  <c r="DL25" i="2"/>
  <c r="DK25" i="2"/>
  <c r="DJ25" i="2"/>
  <c r="DI25" i="2"/>
  <c r="DH25" i="2"/>
  <c r="DG25" i="2"/>
  <c r="DF25" i="2"/>
  <c r="DD25" i="2"/>
  <c r="DC25" i="2"/>
  <c r="DL24" i="2"/>
  <c r="DK24" i="2"/>
  <c r="DJ24" i="2"/>
  <c r="DI24" i="2"/>
  <c r="DH24" i="2"/>
  <c r="DG24" i="2"/>
  <c r="DF24" i="2"/>
  <c r="DC24" i="2"/>
  <c r="DD24" i="2" s="1"/>
  <c r="DL23" i="2"/>
  <c r="DK23" i="2"/>
  <c r="DJ23" i="2"/>
  <c r="DI23" i="2"/>
  <c r="DH23" i="2"/>
  <c r="DG23" i="2"/>
  <c r="DF23" i="2"/>
  <c r="DD23" i="2"/>
  <c r="DC23" i="2"/>
  <c r="DL22" i="2"/>
  <c r="DK22" i="2"/>
  <c r="DJ22" i="2"/>
  <c r="DI22" i="2"/>
  <c r="DH22" i="2"/>
  <c r="DG22" i="2"/>
  <c r="DF22" i="2"/>
  <c r="DC22" i="2"/>
  <c r="DD22" i="2" s="1"/>
  <c r="DL21" i="2"/>
  <c r="DK21" i="2"/>
  <c r="DJ21" i="2"/>
  <c r="DI21" i="2"/>
  <c r="DH21" i="2"/>
  <c r="DG21" i="2"/>
  <c r="DF21" i="2"/>
  <c r="DD21" i="2"/>
  <c r="DC21" i="2"/>
  <c r="DL20" i="2"/>
  <c r="DK20" i="2"/>
  <c r="DJ20" i="2"/>
  <c r="DI20" i="2"/>
  <c r="DH20" i="2"/>
  <c r="DG20" i="2"/>
  <c r="DF20" i="2"/>
  <c r="DC20" i="2"/>
  <c r="DD20" i="2" s="1"/>
  <c r="DL19" i="2"/>
  <c r="DK19" i="2"/>
  <c r="DJ19" i="2"/>
  <c r="DI19" i="2"/>
  <c r="DH19" i="2"/>
  <c r="DG19" i="2"/>
  <c r="DF19" i="2"/>
  <c r="DC19" i="2"/>
  <c r="DD19" i="2" s="1"/>
  <c r="DL18" i="2"/>
  <c r="DK18" i="2"/>
  <c r="DJ18" i="2"/>
  <c r="DI18" i="2"/>
  <c r="DH18" i="2"/>
  <c r="DG18" i="2"/>
  <c r="DF18" i="2"/>
  <c r="DD18" i="2"/>
  <c r="DC18" i="2"/>
  <c r="DL17" i="2"/>
  <c r="DK17" i="2"/>
  <c r="DJ17" i="2"/>
  <c r="DI17" i="2"/>
  <c r="DH17" i="2"/>
  <c r="DG17" i="2"/>
  <c r="DF17" i="2"/>
  <c r="DD17" i="2"/>
  <c r="DC17" i="2"/>
  <c r="DL16" i="2"/>
  <c r="DK16" i="2"/>
  <c r="DJ16" i="2"/>
  <c r="DI16" i="2"/>
  <c r="DH16" i="2"/>
  <c r="DG16" i="2"/>
  <c r="DF16" i="2"/>
  <c r="DC16" i="2"/>
  <c r="DD16" i="2" s="1"/>
  <c r="DL15" i="2"/>
  <c r="DK15" i="2"/>
  <c r="DJ15" i="2"/>
  <c r="DI15" i="2"/>
  <c r="DH15" i="2"/>
  <c r="DG15" i="2"/>
  <c r="DF15" i="2"/>
  <c r="DD15" i="2"/>
  <c r="DC15" i="2"/>
  <c r="DL14" i="2"/>
  <c r="DL102" i="2" s="1"/>
  <c r="DK14" i="2"/>
  <c r="DK102" i="2" s="1"/>
  <c r="DJ14" i="2"/>
  <c r="DJ102" i="2" s="1"/>
  <c r="DI14" i="2"/>
  <c r="DI102" i="2" s="1"/>
  <c r="DH14" i="2"/>
  <c r="DH102" i="2" s="1"/>
  <c r="DG14" i="2"/>
  <c r="DG102" i="2" s="1"/>
  <c r="DF14" i="2"/>
  <c r="DF102" i="2" s="1"/>
  <c r="DC14" i="2"/>
  <c r="DD14" i="2" s="1"/>
  <c r="DL13" i="2"/>
  <c r="DK13" i="2"/>
  <c r="DJ13" i="2"/>
  <c r="DI13" i="2"/>
  <c r="DH13" i="2"/>
  <c r="DG13" i="2"/>
  <c r="DF13" i="2"/>
  <c r="DD13" i="2"/>
  <c r="DC13" i="2"/>
  <c r="DL12" i="2"/>
  <c r="DK12" i="2"/>
  <c r="DJ12" i="2"/>
  <c r="DI12" i="2"/>
  <c r="DH12" i="2"/>
  <c r="DG12" i="2"/>
  <c r="DF12" i="2"/>
  <c r="DC12" i="2"/>
  <c r="DD12" i="2" s="1"/>
  <c r="DL11" i="2"/>
  <c r="DK11" i="2"/>
  <c r="DJ11" i="2"/>
  <c r="DI11" i="2"/>
  <c r="DH11" i="2"/>
  <c r="DG11" i="2"/>
  <c r="DF11" i="2"/>
  <c r="DC11" i="2"/>
  <c r="DD11" i="2" s="1"/>
  <c r="DL10" i="2"/>
  <c r="DK10" i="2"/>
  <c r="DJ10" i="2"/>
  <c r="DI10" i="2"/>
  <c r="DH10" i="2"/>
  <c r="DG10" i="2"/>
  <c r="DF10" i="2"/>
  <c r="DD10" i="2"/>
  <c r="DC10" i="2"/>
  <c r="DL9" i="2"/>
  <c r="DK9" i="2"/>
  <c r="DJ9" i="2"/>
  <c r="DI9" i="2"/>
  <c r="DH9" i="2"/>
  <c r="DG9" i="2"/>
  <c r="DF9" i="2"/>
  <c r="DD9" i="2"/>
  <c r="DC9" i="2"/>
  <c r="DL8" i="2"/>
  <c r="DK8" i="2"/>
  <c r="DJ8" i="2"/>
  <c r="DI8" i="2"/>
  <c r="DH8" i="2"/>
  <c r="DG8" i="2"/>
  <c r="DF8" i="2"/>
  <c r="DC8" i="2"/>
  <c r="DD8" i="2" s="1"/>
  <c r="DL7" i="2"/>
  <c r="DK7" i="2"/>
  <c r="DJ7" i="2"/>
  <c r="DI7" i="2"/>
  <c r="DH7" i="2"/>
  <c r="DG7" i="2"/>
  <c r="DF7" i="2"/>
  <c r="DD7" i="2"/>
  <c r="DC7" i="2"/>
  <c r="DL6" i="2"/>
  <c r="DK6" i="2"/>
  <c r="DJ6" i="2"/>
  <c r="DI6" i="2"/>
  <c r="DH6" i="2"/>
  <c r="DG6" i="2"/>
  <c r="DF6" i="2"/>
  <c r="DC6" i="2"/>
  <c r="DD6" i="2" s="1"/>
  <c r="DL5" i="2"/>
  <c r="DK5" i="2"/>
  <c r="DJ5" i="2"/>
  <c r="DI5" i="2"/>
  <c r="DH5" i="2"/>
  <c r="DG5" i="2"/>
  <c r="DF5" i="2"/>
  <c r="DD5" i="2"/>
  <c r="DC5" i="2"/>
</calcChain>
</file>

<file path=xl/sharedStrings.xml><?xml version="1.0" encoding="utf-8"?>
<sst xmlns="http://schemas.openxmlformats.org/spreadsheetml/2006/main" count="1595" uniqueCount="916">
  <si>
    <t>Reaction 1:  G1 :</t>
  </si>
  <si>
    <t>Reaction 2:  G2a :</t>
  </si>
  <si>
    <t>Reaction 3:  G2b :</t>
  </si>
  <si>
    <t>ATP + D-glucose ==&gt; ADP + a-D-glucose_6-phosphate + H+_cyt</t>
  </si>
  <si>
    <t>Reaction 4:  G3r :</t>
  </si>
  <si>
    <t>a-D-glucose_6-phosphate &lt;==&gt; D-fructose-6-phosphate</t>
  </si>
  <si>
    <t>Reaction 5:  G4 :</t>
  </si>
  <si>
    <t>ATP + D-fructose-6-phosphate ==&gt; ADP + fructose-1,6-bisphosphate + H+_cyt</t>
  </si>
  <si>
    <t>Reaction 6:  G5 :</t>
  </si>
  <si>
    <t>fructose-1,6-bisphosphate + H2O ==&gt; D-fructose-6-phosphate + phosphate</t>
  </si>
  <si>
    <t>Reaction 7:  G6r :</t>
  </si>
  <si>
    <t>fructose-1,6-bisphosphate &lt;==&gt; dihydroxyacetone_phosphate + D-glyceraldehyde_3-phosphate</t>
  </si>
  <si>
    <t>Reaction 8:  G7r :</t>
  </si>
  <si>
    <t>D-glyceraldehyde_3-phosphate &lt;==&gt; dihydroxyacetone_phosphate</t>
  </si>
  <si>
    <t>Reaction 9:  G8r :</t>
  </si>
  <si>
    <t>D-glyceraldehyde_3-phosphate + NAD + phosphate &lt;==&gt; H+_cyt + NADH + 1,3-bisphospho-D-glycerate</t>
  </si>
  <si>
    <t>Reaction 10:  G9r :</t>
  </si>
  <si>
    <t>ATP + 3-phospho-D-glycerate &lt;==&gt; ADP + 1,3-bisphospho-D-glycerate</t>
  </si>
  <si>
    <t>Reaction 11:  G10r :</t>
  </si>
  <si>
    <t>3-phospho-D-glycerate &lt;==&gt; 2-phospho-D-glycerate</t>
  </si>
  <si>
    <t>Reaction 12:  G11r :</t>
  </si>
  <si>
    <t>2-phospho-D-glycerate &lt;==&gt; H2O + phosphoenolpyruvate</t>
  </si>
  <si>
    <t>Reaction 13:  G12r :</t>
  </si>
  <si>
    <t>ADP + H+_cyt + phosphoenolpyruvate &lt;==&gt; ATP + pyruvate</t>
  </si>
  <si>
    <t>Reaction 14:  PPP1r :</t>
  </si>
  <si>
    <t>a-D-glucose_6-phosphate + NADP &lt;==&gt; H+_cyt + NADPH + 6-phospho_D-glucono-1,5-lactone</t>
  </si>
  <si>
    <t>Reaction 15:  PPP2r :</t>
  </si>
  <si>
    <t>H2O + 6-phospho_D-glucono-1,5-lactone &lt;==&gt; D-gluconate_6-phosphate + H+_cyt</t>
  </si>
  <si>
    <t>Reaction 16:  PPP3 :</t>
  </si>
  <si>
    <t>D-gluconate_6-phosphate + NADP ==&gt; carbon_dioxide + NADPH + D-ribulose_5-phosphate</t>
  </si>
  <si>
    <t>Reaction 17:  PPP4 :</t>
  </si>
  <si>
    <t>D-gluconate_6-phosphate ==&gt; H2O + 2-dehydro-3-deoxy-D-gluconate_6-phosphate</t>
  </si>
  <si>
    <t>Reaction 18:  PPP5 :</t>
  </si>
  <si>
    <t>2-dehydro-3-deoxy-D-gluconate_6-phosphate ==&gt; D-glyceraldehyde_3-phosphate + pyruvate</t>
  </si>
  <si>
    <t>Reaction 19:  PPP6r :</t>
  </si>
  <si>
    <t>D-ribulose_5-phosphate &lt;==&gt; D-xylulose_5-phosphate</t>
  </si>
  <si>
    <t>Reaction 20:  PPP7r :</t>
  </si>
  <si>
    <t>D-ribulose_5-phosphate &lt;==&gt; D-ribose_5-phosphate</t>
  </si>
  <si>
    <t>Reaction 21:  PPP8r :</t>
  </si>
  <si>
    <t>D-ribose_5-phosphate + D-xylulose_5-phosphate &lt;==&gt; D-glyceraldehyde_3-phosphate + D-sedoheptulose_7-phosphate</t>
  </si>
  <si>
    <t>Reaction 22:  PPP9r :</t>
  </si>
  <si>
    <t>D-glyceraldehyde_3-phosphate + D-sedoheptulose_7-phosphate &lt;==&gt; D-erythrose_4-phosphate + D-fructose-6-phosphate</t>
  </si>
  <si>
    <t>Reaction 23:  PPP10r :</t>
  </si>
  <si>
    <t>D-erythrose_4-phosphate + D-xylulose_5-phosphate &lt;==&gt; D-fructose-6-phosphate + D-glyceraldehyde_3-phosphate</t>
  </si>
  <si>
    <t>Reaction 24:  TCA1 :</t>
  </si>
  <si>
    <t>acetyl_CoA + H2O + oxaloacetate ==&gt; citrate + coenzyme_A + H+_cyt</t>
  </si>
  <si>
    <t>Reaction 25:  TCA2r :</t>
  </si>
  <si>
    <t>citrate &lt;==&gt; isocitrate</t>
  </si>
  <si>
    <t>Reaction 26:  TCA3 :</t>
  </si>
  <si>
    <t>isocitrate + NADP ==&gt; 2-oxoglutarate + carbon_dioxide + NADPH</t>
  </si>
  <si>
    <t>Reaction 27:  TCA4 :</t>
  </si>
  <si>
    <t>2-oxoglutarate + coenzyme_A + NAD ==&gt; carbon_dioxide + NADH + succinate_CoA</t>
  </si>
  <si>
    <t>Reaction 28:  TCA5r :</t>
  </si>
  <si>
    <t>ADP + phosphate + succinate_CoA &lt;==&gt; ATP + coenzyme_A + succinate</t>
  </si>
  <si>
    <t>Reaction 29:  TCA6 :</t>
  </si>
  <si>
    <t>Reaction 30:  TCA7 :</t>
  </si>
  <si>
    <t>Reaction 31:  TCA8r :</t>
  </si>
  <si>
    <t>fumarate + H2O &lt;==&gt; malate</t>
  </si>
  <si>
    <t>Reaction 32:  TCA9r :</t>
  </si>
  <si>
    <t>malate + NAD &lt;==&gt; H+_cyt + NADH + oxaloacetate</t>
  </si>
  <si>
    <t>Reaction 33:  AP1 :</t>
  </si>
  <si>
    <t>carbon_dioxide + H2O + phosphoenolpyruvate ==&gt; H+_cyt + oxaloacetate + phosphate</t>
  </si>
  <si>
    <t>Reaction 34:  AP2 :</t>
  </si>
  <si>
    <t>malate + NADP ==&gt; carbon_dioxide + NADPH + pyruvate</t>
  </si>
  <si>
    <t>Reaction 35:  AP3 :</t>
  </si>
  <si>
    <t>ATP + oxaloacetate ==&gt; ADP + carbon_dioxide + phosphoenolpyruvate</t>
  </si>
  <si>
    <t>Reaction 36:  IM1 :</t>
  </si>
  <si>
    <t>coenzyme_A + pyruvate ==&gt; acetyl_CoA + formate</t>
  </si>
  <si>
    <t>Reaction 37:  IM2 :</t>
  </si>
  <si>
    <t>coenzyme_A + NAD + pyruvate ==&gt; acetyl_CoA + carbon_dioxide + NADH</t>
  </si>
  <si>
    <t>Reaction 38:  IM3 :</t>
  </si>
  <si>
    <t>H+_cyt + NADH + pyruvate ==&gt; lactate + NAD</t>
  </si>
  <si>
    <t>Reaction 39:  IM3b :</t>
  </si>
  <si>
    <t>Reaction 40:  IM4 :</t>
  </si>
  <si>
    <t>acetyl_CoA + 2 H+_cyt + 2 NADH ==&gt; coenzyme_A + ethanol + 2 NAD</t>
  </si>
  <si>
    <t>Reaction 41:  IM5r :</t>
  </si>
  <si>
    <t>acetyl_CoA + ADP + phosphate &lt;==&gt; acetate + ATP + coenzyme_A</t>
  </si>
  <si>
    <t>Reaction 42:  IM6 :</t>
  </si>
  <si>
    <t>Reaction 43:  IM7 :</t>
  </si>
  <si>
    <t>Reaction 44:  IM8 :</t>
  </si>
  <si>
    <t>acetate + ATP + coenzyme_A ==&gt; acetyl_CoA + AMP + diphosphate</t>
  </si>
  <si>
    <t>Reaction 45:  R1 :</t>
  </si>
  <si>
    <t>Reaction 46:  R2 :</t>
  </si>
  <si>
    <t>Reaction 47:  R3 :</t>
  </si>
  <si>
    <t>Reaction 48:  R4 :</t>
  </si>
  <si>
    <t>dioxygen + 2 QH2 ==&gt; 2 H2O + 2 Q</t>
  </si>
  <si>
    <t>Reaction 49:  R5 :</t>
  </si>
  <si>
    <t>Reaction 50:  R6r :</t>
  </si>
  <si>
    <t>Reaction 51:  R7 :</t>
  </si>
  <si>
    <t>NAD + NADPH ==&gt; NADH + NADP</t>
  </si>
  <si>
    <t>Reaction 52:  R8 :</t>
  </si>
  <si>
    <t>Reaction 53:  GS1r :</t>
  </si>
  <si>
    <t>isocitrate &lt;==&gt; glyoxylate + succinate</t>
  </si>
  <si>
    <t>Reaction 54:  GS2 :</t>
  </si>
  <si>
    <t>acetyl_CoA + glyoxylate + H2O ==&gt; coenzyme_A + H+_cyt + malate</t>
  </si>
  <si>
    <t>Reaction 55:  AA1 :</t>
  </si>
  <si>
    <t>ATP + L-glutamate + ammonia ==&gt; ADP + L-glutamine + phosphate</t>
  </si>
  <si>
    <t>Reaction 56:  AA2 :</t>
  </si>
  <si>
    <t>2-oxoglutarate + L-glutamine + H+_cyt + NADPH ==&gt; 2 L-glutamate + NADP</t>
  </si>
  <si>
    <t>Reaction 57:  AA3r :</t>
  </si>
  <si>
    <t>2-oxoglutarate + 2 H+_cyt + NADPH + ammonia &lt;==&gt; L-glutamate + H2O + NADP</t>
  </si>
  <si>
    <t>Reaction 58:  ATPm :</t>
  </si>
  <si>
    <t>ATP + H2O ==&gt; ADP + H+_cyt + phosphate</t>
  </si>
  <si>
    <t>Reaction 59:  ADK :</t>
  </si>
  <si>
    <t>AMP + ATP ==&gt; 2 ADP</t>
  </si>
  <si>
    <t>Reaction 60:  PYRO :</t>
  </si>
  <si>
    <t>H2O + diphosphate ==&gt; H+_cyt + 2 phosphate</t>
  </si>
  <si>
    <t>Reaction 61:  PH :</t>
  </si>
  <si>
    <t>H+_cyt ==&gt; H+_ext</t>
  </si>
  <si>
    <t>Reaction 62:  Phin :</t>
  </si>
  <si>
    <t>H+_ext ==&gt; H+_cyt</t>
  </si>
  <si>
    <t>Reaction 63:  BIOM :</t>
  </si>
  <si>
    <t>0.95 acetyl_CoA + 36.9 ATP + 0.41 D-erythrose_4-phosphate + 0.05 a-D-glucose_6-phosphate + 4.4 L-glutamate + 2.77 L-glutamine + 26.83 H2O + 3.26 NAD + 13.53 NADPH + 1.88 oxaloacetate + 2.1 phosphoenolpyruvate + 3.13 pyruvate + 0.69 D-ribose_5-phosphate + 0.5 S2H + 6.28 MRE ==&gt; 36.9 ADP + 6.04 2-oxoglutarate + biomass(1kgcdw) + 0.95 coenzyme_A + 22.88 H+_cyt + 3.26 NADH + 13.53 NADP + 38.93 phosphate</t>
  </si>
  <si>
    <t>Reaction 64:  T1 :</t>
  </si>
  <si>
    <t>ethanol ==&gt; ethanol_ext</t>
  </si>
  <si>
    <t>Reaction 65:  T2 :</t>
  </si>
  <si>
    <t>Reaction 66:  T2in :</t>
  </si>
  <si>
    <t>Reaction 67:  T3 :</t>
  </si>
  <si>
    <t>Reaction 68:  T4 :</t>
  </si>
  <si>
    <t>Reaction 69:  T4in :</t>
  </si>
  <si>
    <t>Reaction 70:  T5 :</t>
  </si>
  <si>
    <t>Reaction 71:  T6 :</t>
  </si>
  <si>
    <t>carbon_dioxide ==&gt; carbon_dioxide_ext</t>
  </si>
  <si>
    <t>Reaction 72:  T6in :</t>
  </si>
  <si>
    <t>carbon_dioxide_ext ==&gt; carbon_dioxide</t>
  </si>
  <si>
    <t>Reaction 73:  T7r :</t>
  </si>
  <si>
    <t>dioxygen_ext ==&gt; dioxygen</t>
  </si>
  <si>
    <t>Reaction 74:  T8 :</t>
  </si>
  <si>
    <t>Reaction 75:  T9 :</t>
  </si>
  <si>
    <t>H2O ==&gt; H2O_ext</t>
  </si>
  <si>
    <t>Reaction 76:  T9in :</t>
  </si>
  <si>
    <t>H2O_ext ==&gt; H2O</t>
  </si>
  <si>
    <t>Reaction 77:  T10 :</t>
  </si>
  <si>
    <t>Reaction 78:  T11 :</t>
  </si>
  <si>
    <t>Reaction 79:  T12 :</t>
  </si>
  <si>
    <t>Reaction 80:  T13 :</t>
  </si>
  <si>
    <t>Reaction 81:  T14 :</t>
  </si>
  <si>
    <t>ATP + Q + glycerol_ext + 3 Cmol + 14 Emol + Mol ==&gt; ADP + dihydroxyacetone_phosphate + H+_cyt + QH2</t>
  </si>
  <si>
    <t>Reaction 82:  T15 :</t>
  </si>
  <si>
    <t>Reaction 83:  T16 :</t>
  </si>
  <si>
    <t>Reaction 84:  T17 :</t>
  </si>
  <si>
    <t>Reaction 85:  T18 :</t>
  </si>
  <si>
    <t>Reaction 86:  T19 :</t>
  </si>
  <si>
    <t>Reaction 87:  T20 :</t>
  </si>
  <si>
    <t>Reaction 88:  T21 :</t>
  </si>
  <si>
    <t>Reaction 89:  T22 :</t>
  </si>
  <si>
    <t>Reaction 90:  T23 :</t>
  </si>
  <si>
    <t>Reaction 91:  T24 :</t>
  </si>
  <si>
    <t>Reaction 92:  T25 :</t>
  </si>
  <si>
    <t>MRE_ext ==&gt; MRE</t>
  </si>
  <si>
    <t>Reaction 93:  T26 :</t>
  </si>
  <si>
    <t>Emol_ext ==&gt; Emol</t>
  </si>
  <si>
    <t>Reaction 94:  T27 :</t>
  </si>
  <si>
    <t>Cmol_ext ==&gt; Cmol</t>
  </si>
  <si>
    <t>Reaction 95:  T28 :</t>
  </si>
  <si>
    <t>Mol_ext ==&gt; Mol</t>
  </si>
  <si>
    <t>Metabolites</t>
  </si>
  <si>
    <t>Balances</t>
  </si>
  <si>
    <t>formula</t>
  </si>
  <si>
    <t>C</t>
  </si>
  <si>
    <t>H</t>
  </si>
  <si>
    <t>O</t>
  </si>
  <si>
    <t>N</t>
  </si>
  <si>
    <t>P</t>
  </si>
  <si>
    <t>S</t>
  </si>
  <si>
    <t>charge</t>
  </si>
  <si>
    <t>γ (° of red., NH3 ref)</t>
  </si>
  <si>
    <t>e-(NH3.ref)</t>
  </si>
  <si>
    <t>electrons</t>
  </si>
  <si>
    <t>220723 no cost export</t>
  </si>
  <si>
    <t>Metabolites::Reactions</t>
  </si>
  <si>
    <t>Reaction_Reversibilities</t>
  </si>
  <si>
    <t>D-gluconate_6-phosphate</t>
  </si>
  <si>
    <t>acetate</t>
  </si>
  <si>
    <t>acetate_ext</t>
  </si>
  <si>
    <t>acetyl_CoA</t>
  </si>
  <si>
    <t>ADP</t>
  </si>
  <si>
    <t>2-oxoglutarate</t>
  </si>
  <si>
    <t>AMP</t>
  </si>
  <si>
    <t>ATP</t>
  </si>
  <si>
    <t>biomass(1kgcdw)</t>
  </si>
  <si>
    <t>citrate</t>
  </si>
  <si>
    <t>carbon_dioxide</t>
  </si>
  <si>
    <t>carbon_dioxide_ext</t>
  </si>
  <si>
    <t>coenzyme_A</t>
  </si>
  <si>
    <t>dihydroxyacetone_phosphate</t>
  </si>
  <si>
    <t>D-erythrose_4-phosphate</t>
  </si>
  <si>
    <t>ethanol</t>
  </si>
  <si>
    <t>ethanol_ext</t>
  </si>
  <si>
    <t>formate</t>
  </si>
  <si>
    <t>formate_ext</t>
  </si>
  <si>
    <t>D-fructose-6-phosphate</t>
  </si>
  <si>
    <t>fructose-1,6-bisphosphate</t>
  </si>
  <si>
    <t>fumarate</t>
  </si>
  <si>
    <t>D-glyceraldehyde_3-phosphate</t>
  </si>
  <si>
    <t>D-glucose</t>
  </si>
  <si>
    <t>a-D-glucose_6-phosphate</t>
  </si>
  <si>
    <t>D-glucose_ext</t>
  </si>
  <si>
    <t>L-glutamate</t>
  </si>
  <si>
    <t>L-glutamine</t>
  </si>
  <si>
    <t>glyoxylate</t>
  </si>
  <si>
    <t>H+_ext</t>
  </si>
  <si>
    <t>H2O</t>
  </si>
  <si>
    <t>H2O_ext</t>
  </si>
  <si>
    <t>H+_cyt</t>
  </si>
  <si>
    <t>isocitrate</t>
  </si>
  <si>
    <t>lactate</t>
  </si>
  <si>
    <t>lactate_ext</t>
  </si>
  <si>
    <t>malate</t>
  </si>
  <si>
    <t>NAD</t>
  </si>
  <si>
    <t>NADH</t>
  </si>
  <si>
    <t>NADP</t>
  </si>
  <si>
    <t>NADPH</t>
  </si>
  <si>
    <t>ammonia</t>
  </si>
  <si>
    <t>ammonia_ext</t>
  </si>
  <si>
    <t>dioxygen</t>
  </si>
  <si>
    <t>dioxygen_ext</t>
  </si>
  <si>
    <t>oxaloacetate</t>
  </si>
  <si>
    <t>phosphoenolpyruvate</t>
  </si>
  <si>
    <t>2-phospho-D-glycerate</t>
  </si>
  <si>
    <t>phosphate</t>
  </si>
  <si>
    <t>phosphate_ext</t>
  </si>
  <si>
    <t>H+_pmf</t>
  </si>
  <si>
    <t>diphosphate</t>
  </si>
  <si>
    <t>pyruvate</t>
  </si>
  <si>
    <t>Q</t>
  </si>
  <si>
    <t>QH2</t>
  </si>
  <si>
    <t>D-ribose_5-phosphate</t>
  </si>
  <si>
    <t>D-ribulose_5-phosphate</t>
  </si>
  <si>
    <t>S2H</t>
  </si>
  <si>
    <t>D-sedoheptulose_7-phosphate</t>
  </si>
  <si>
    <t>sulfate_ext</t>
  </si>
  <si>
    <t>succinate</t>
  </si>
  <si>
    <t>succinate_CoA</t>
  </si>
  <si>
    <t>D-xylulose_5-phosphate</t>
  </si>
  <si>
    <t>pyruvate_ext</t>
  </si>
  <si>
    <t>1,3-bisphospho-D-glycerate</t>
  </si>
  <si>
    <t>3-phospho-D-glycerate</t>
  </si>
  <si>
    <t>6-phospho_D-glucono-1,5-lactone</t>
  </si>
  <si>
    <t>2-dehydro-3-deoxy-D-gluconate_6-phosphate</t>
  </si>
  <si>
    <t>succinate_ext</t>
  </si>
  <si>
    <t>oxaloacetate_ext</t>
  </si>
  <si>
    <t>D-mannose_ext</t>
  </si>
  <si>
    <t>D-maltose_ext</t>
  </si>
  <si>
    <t>D-xylose_ext</t>
  </si>
  <si>
    <t>glycerol_ext</t>
  </si>
  <si>
    <t>MRE</t>
  </si>
  <si>
    <t>MRE_ext</t>
  </si>
  <si>
    <t>fumarate_ext</t>
  </si>
  <si>
    <t>D-ribose_ext</t>
  </si>
  <si>
    <t>malate_ext</t>
  </si>
  <si>
    <t>2-oxoglutarate_ext</t>
  </si>
  <si>
    <t>D-fructose_ext</t>
  </si>
  <si>
    <t>D-galactose_ext</t>
  </si>
  <si>
    <t>D-mannitol_ext</t>
  </si>
  <si>
    <t>D-sorbitol_ext</t>
  </si>
  <si>
    <t>Cmol</t>
  </si>
  <si>
    <t>Cmol_ext</t>
  </si>
  <si>
    <t>Emol</t>
  </si>
  <si>
    <t>Emol_ext</t>
  </si>
  <si>
    <t>Mol</t>
  </si>
  <si>
    <t>Mol_ext</t>
  </si>
  <si>
    <t>G1</t>
  </si>
  <si>
    <r>
      <t>C</t>
    </r>
    <r>
      <rPr>
        <vertAlign val="subscript"/>
        <sz val="11"/>
        <rFont val="Trebuchet MS"/>
        <family val="2"/>
      </rPr>
      <t>6</t>
    </r>
    <r>
      <rPr>
        <sz val="10"/>
        <rFont val="Trebuchet MS"/>
        <family val="2"/>
      </rPr>
      <t>H</t>
    </r>
    <r>
      <rPr>
        <vertAlign val="subscript"/>
        <sz val="11"/>
        <rFont val="Trebuchet MS"/>
        <family val="2"/>
      </rPr>
      <t>10</t>
    </r>
    <r>
      <rPr>
        <sz val="10"/>
        <rFont val="Trebuchet MS"/>
        <family val="2"/>
      </rPr>
      <t>O</t>
    </r>
    <r>
      <rPr>
        <vertAlign val="subscript"/>
        <sz val="11"/>
        <rFont val="Trebuchet MS"/>
        <family val="2"/>
      </rPr>
      <t>10</t>
    </r>
    <r>
      <rPr>
        <sz val="10"/>
        <rFont val="Trebuchet MS"/>
        <family val="2"/>
      </rPr>
      <t>P</t>
    </r>
  </si>
  <si>
    <t>D-glucose_ext + phosphoenolpyruvate + 0.267 MRE + 6 Cmol + 24 Emol + Mol ==&gt; a-D-glucose_6-phosphate + pyruvate</t>
  </si>
  <si>
    <t>Flux bounds: [0,1000]</t>
  </si>
  <si>
    <t>G2a</t>
  </si>
  <si>
    <r>
      <t>C</t>
    </r>
    <r>
      <rPr>
        <vertAlign val="subscript"/>
        <sz val="10"/>
        <rFont val="Trebuchet MS"/>
        <family val="2"/>
      </rPr>
      <t>2</t>
    </r>
    <r>
      <rPr>
        <sz val="10"/>
        <rFont val="Trebuchet MS"/>
        <family val="2"/>
      </rPr>
      <t>H</t>
    </r>
    <r>
      <rPr>
        <vertAlign val="subscript"/>
        <sz val="10"/>
        <rFont val="Trebuchet MS"/>
        <family val="2"/>
      </rPr>
      <t>3</t>
    </r>
    <r>
      <rPr>
        <sz val="10"/>
        <rFont val="Trebuchet MS"/>
        <family val="2"/>
      </rPr>
      <t>O</t>
    </r>
    <r>
      <rPr>
        <vertAlign val="subscript"/>
        <sz val="10"/>
        <rFont val="Trebuchet MS"/>
        <family val="2"/>
      </rPr>
      <t>2</t>
    </r>
  </si>
  <si>
    <t>ATP + D-glucose_ext + H2O + 30 MRE ==&gt; ADP + D-glucose + H+_cyt + phosphate</t>
  </si>
  <si>
    <t>G2b</t>
  </si>
  <si>
    <t>Flux bounds: [0,0]</t>
  </si>
  <si>
    <t>G3r</t>
  </si>
  <si>
    <r>
      <t>C</t>
    </r>
    <r>
      <rPr>
        <vertAlign val="subscript"/>
        <sz val="10"/>
        <rFont val="Trebuchet MS"/>
        <family val="2"/>
      </rPr>
      <t>23</t>
    </r>
    <r>
      <rPr>
        <sz val="10"/>
        <rFont val="Trebuchet MS"/>
        <family val="2"/>
      </rPr>
      <t>H</t>
    </r>
    <r>
      <rPr>
        <vertAlign val="subscript"/>
        <sz val="10"/>
        <rFont val="Trebuchet MS"/>
        <family val="2"/>
      </rPr>
      <t>34</t>
    </r>
    <r>
      <rPr>
        <sz val="10"/>
        <rFont val="Trebuchet MS"/>
        <family val="2"/>
      </rPr>
      <t>N</t>
    </r>
    <r>
      <rPr>
        <vertAlign val="subscript"/>
        <sz val="10"/>
        <rFont val="Trebuchet MS"/>
        <family val="2"/>
      </rPr>
      <t>7</t>
    </r>
    <r>
      <rPr>
        <sz val="10"/>
        <rFont val="Trebuchet MS"/>
        <family val="2"/>
      </rPr>
      <t>O</t>
    </r>
    <r>
      <rPr>
        <vertAlign val="subscript"/>
        <sz val="10"/>
        <rFont val="Trebuchet MS"/>
        <family val="2"/>
      </rPr>
      <t>17</t>
    </r>
    <r>
      <rPr>
        <sz val="10"/>
        <rFont val="Trebuchet MS"/>
        <family val="2"/>
      </rPr>
      <t>P</t>
    </r>
    <r>
      <rPr>
        <vertAlign val="subscript"/>
        <sz val="10"/>
        <rFont val="Trebuchet MS"/>
        <family val="2"/>
      </rPr>
      <t>3</t>
    </r>
    <r>
      <rPr>
        <sz val="10"/>
        <rFont val="Trebuchet MS"/>
        <family val="2"/>
      </rPr>
      <t>S</t>
    </r>
  </si>
  <si>
    <t>Flux bounds: [-1000,1000]</t>
  </si>
  <si>
    <t>G4</t>
  </si>
  <si>
    <r>
      <t>C</t>
    </r>
    <r>
      <rPr>
        <vertAlign val="subscript"/>
        <sz val="10"/>
        <rFont val="Trebuchet MS"/>
        <family val="2"/>
      </rPr>
      <t>10</t>
    </r>
    <r>
      <rPr>
        <sz val="10"/>
        <rFont val="Trebuchet MS"/>
        <family val="2"/>
      </rPr>
      <t>H</t>
    </r>
    <r>
      <rPr>
        <vertAlign val="subscript"/>
        <sz val="10"/>
        <rFont val="Trebuchet MS"/>
        <family val="2"/>
      </rPr>
      <t>12</t>
    </r>
    <r>
      <rPr>
        <sz val="10"/>
        <rFont val="Trebuchet MS"/>
        <family val="2"/>
      </rPr>
      <t>N</t>
    </r>
    <r>
      <rPr>
        <vertAlign val="subscript"/>
        <sz val="10"/>
        <rFont val="Trebuchet MS"/>
        <family val="2"/>
      </rPr>
      <t>5</t>
    </r>
    <r>
      <rPr>
        <sz val="10"/>
        <rFont val="Trebuchet MS"/>
        <family val="2"/>
      </rPr>
      <t>O</t>
    </r>
    <r>
      <rPr>
        <vertAlign val="subscript"/>
        <sz val="10"/>
        <rFont val="Trebuchet MS"/>
        <family val="2"/>
      </rPr>
      <t>10</t>
    </r>
    <r>
      <rPr>
        <sz val="10"/>
        <rFont val="Trebuchet MS"/>
        <family val="2"/>
      </rPr>
      <t>P</t>
    </r>
    <r>
      <rPr>
        <vertAlign val="subscript"/>
        <sz val="10"/>
        <rFont val="Trebuchet MS"/>
        <family val="2"/>
      </rPr>
      <t>2</t>
    </r>
  </si>
  <si>
    <t>G5</t>
  </si>
  <si>
    <r>
      <t>C</t>
    </r>
    <r>
      <rPr>
        <vertAlign val="subscript"/>
        <sz val="10"/>
        <rFont val="Trebuchet MS"/>
        <family val="2"/>
      </rPr>
      <t>5</t>
    </r>
    <r>
      <rPr>
        <sz val="10"/>
        <rFont val="Trebuchet MS"/>
        <family val="2"/>
      </rPr>
      <t>H</t>
    </r>
    <r>
      <rPr>
        <vertAlign val="subscript"/>
        <sz val="10"/>
        <rFont val="Trebuchet MS"/>
        <family val="2"/>
      </rPr>
      <t>4</t>
    </r>
    <r>
      <rPr>
        <sz val="10"/>
        <rFont val="Trebuchet MS"/>
        <family val="2"/>
      </rPr>
      <t>O</t>
    </r>
    <r>
      <rPr>
        <vertAlign val="subscript"/>
        <sz val="10"/>
        <rFont val="Trebuchet MS"/>
        <family val="2"/>
      </rPr>
      <t>5</t>
    </r>
  </si>
  <si>
    <t>G6r</t>
  </si>
  <si>
    <r>
      <t>C</t>
    </r>
    <r>
      <rPr>
        <vertAlign val="subscript"/>
        <sz val="10"/>
        <rFont val="Trebuchet MS"/>
        <family val="2"/>
      </rPr>
      <t>10</t>
    </r>
    <r>
      <rPr>
        <sz val="10"/>
        <rFont val="Trebuchet MS"/>
        <family val="2"/>
      </rPr>
      <t>H</t>
    </r>
    <r>
      <rPr>
        <vertAlign val="subscript"/>
        <sz val="10"/>
        <rFont val="Trebuchet MS"/>
        <family val="2"/>
      </rPr>
      <t>12</t>
    </r>
    <r>
      <rPr>
        <sz val="10"/>
        <rFont val="Trebuchet MS"/>
        <family val="2"/>
      </rPr>
      <t>N</t>
    </r>
    <r>
      <rPr>
        <vertAlign val="subscript"/>
        <sz val="10"/>
        <rFont val="Trebuchet MS"/>
        <family val="2"/>
      </rPr>
      <t>5</t>
    </r>
    <r>
      <rPr>
        <sz val="10"/>
        <rFont val="Trebuchet MS"/>
        <family val="2"/>
      </rPr>
      <t>O</t>
    </r>
    <r>
      <rPr>
        <vertAlign val="subscript"/>
        <sz val="10"/>
        <rFont val="Trebuchet MS"/>
        <family val="2"/>
      </rPr>
      <t>7</t>
    </r>
    <r>
      <rPr>
        <sz val="10"/>
        <rFont val="Trebuchet MS"/>
        <family val="2"/>
      </rPr>
      <t>P</t>
    </r>
  </si>
  <si>
    <t>G7r</t>
  </si>
  <si>
    <r>
      <t>C</t>
    </r>
    <r>
      <rPr>
        <vertAlign val="subscript"/>
        <sz val="10"/>
        <rFont val="Trebuchet MS"/>
        <family val="2"/>
      </rPr>
      <t>10</t>
    </r>
    <r>
      <rPr>
        <sz val="10"/>
        <rFont val="Trebuchet MS"/>
        <family val="2"/>
      </rPr>
      <t>H</t>
    </r>
    <r>
      <rPr>
        <vertAlign val="subscript"/>
        <sz val="10"/>
        <rFont val="Trebuchet MS"/>
        <family val="2"/>
      </rPr>
      <t>12</t>
    </r>
    <r>
      <rPr>
        <sz val="10"/>
        <rFont val="Trebuchet MS"/>
        <family val="2"/>
      </rPr>
      <t>N</t>
    </r>
    <r>
      <rPr>
        <vertAlign val="subscript"/>
        <sz val="10"/>
        <rFont val="Trebuchet MS"/>
        <family val="2"/>
      </rPr>
      <t>5</t>
    </r>
    <r>
      <rPr>
        <sz val="10"/>
        <rFont val="Trebuchet MS"/>
        <family val="2"/>
      </rPr>
      <t>O</t>
    </r>
    <r>
      <rPr>
        <vertAlign val="subscript"/>
        <sz val="10"/>
        <rFont val="Trebuchet MS"/>
        <family val="2"/>
      </rPr>
      <t>13</t>
    </r>
    <r>
      <rPr>
        <sz val="10"/>
        <rFont val="Trebuchet MS"/>
        <family val="2"/>
      </rPr>
      <t>P</t>
    </r>
    <r>
      <rPr>
        <vertAlign val="subscript"/>
        <sz val="10"/>
        <rFont val="Trebuchet MS"/>
        <family val="2"/>
      </rPr>
      <t>3</t>
    </r>
  </si>
  <si>
    <t>G8r</t>
  </si>
  <si>
    <r>
      <t>C</t>
    </r>
    <r>
      <rPr>
        <vertAlign val="subscript"/>
        <sz val="10"/>
        <rFont val="Trebuchet MS"/>
        <family val="2"/>
      </rPr>
      <t>1</t>
    </r>
    <r>
      <rPr>
        <sz val="10"/>
        <rFont val="Trebuchet MS"/>
        <family val="2"/>
      </rPr>
      <t>H</t>
    </r>
    <r>
      <rPr>
        <vertAlign val="subscript"/>
        <sz val="10"/>
        <rFont val="Trebuchet MS"/>
        <family val="2"/>
      </rPr>
      <t>1.96</t>
    </r>
    <r>
      <rPr>
        <sz val="10"/>
        <rFont val="Trebuchet MS"/>
        <family val="2"/>
      </rPr>
      <t>O</t>
    </r>
    <r>
      <rPr>
        <vertAlign val="subscript"/>
        <sz val="10"/>
        <rFont val="Trebuchet MS"/>
        <family val="2"/>
      </rPr>
      <t>0.52</t>
    </r>
    <r>
      <rPr>
        <sz val="10"/>
        <rFont val="Trebuchet MS"/>
        <family val="2"/>
      </rPr>
      <t>N</t>
    </r>
    <r>
      <rPr>
        <vertAlign val="subscript"/>
        <sz val="10"/>
        <rFont val="Trebuchet MS"/>
        <family val="2"/>
      </rPr>
      <t>0.28</t>
    </r>
    <r>
      <rPr>
        <sz val="10"/>
        <rFont val="Trebuchet MS"/>
        <family val="2"/>
      </rPr>
      <t>P</t>
    </r>
    <r>
      <rPr>
        <vertAlign val="subscript"/>
        <sz val="10"/>
        <rFont val="Trebuchet MS"/>
        <family val="2"/>
      </rPr>
      <t>0.03</t>
    </r>
  </si>
  <si>
    <t>G9r</t>
  </si>
  <si>
    <r>
      <t>C</t>
    </r>
    <r>
      <rPr>
        <vertAlign val="subscript"/>
        <sz val="10"/>
        <rFont val="Trebuchet MS"/>
        <family val="2"/>
      </rPr>
      <t>6</t>
    </r>
    <r>
      <rPr>
        <sz val="10"/>
        <rFont val="Trebuchet MS"/>
        <family val="2"/>
      </rPr>
      <t>H</t>
    </r>
    <r>
      <rPr>
        <vertAlign val="subscript"/>
        <sz val="10"/>
        <rFont val="Trebuchet MS"/>
        <family val="2"/>
      </rPr>
      <t>5</t>
    </r>
    <r>
      <rPr>
        <sz val="10"/>
        <rFont val="Trebuchet MS"/>
        <family val="2"/>
      </rPr>
      <t>O</t>
    </r>
    <r>
      <rPr>
        <vertAlign val="subscript"/>
        <sz val="10"/>
        <rFont val="Trebuchet MS"/>
        <family val="2"/>
      </rPr>
      <t>7</t>
    </r>
  </si>
  <si>
    <t>G10r</t>
  </si>
  <si>
    <t>CO2</t>
  </si>
  <si>
    <r>
      <t>CO</t>
    </r>
    <r>
      <rPr>
        <vertAlign val="subscript"/>
        <sz val="10"/>
        <rFont val="Trebuchet MS"/>
        <family val="2"/>
      </rPr>
      <t>2</t>
    </r>
  </si>
  <si>
    <t>G11r</t>
  </si>
  <si>
    <t>CO2_ext</t>
  </si>
  <si>
    <t>G12r</t>
  </si>
  <si>
    <t>CoA</t>
  </si>
  <si>
    <r>
      <t>C</t>
    </r>
    <r>
      <rPr>
        <vertAlign val="subscript"/>
        <sz val="10"/>
        <rFont val="Trebuchet MS"/>
        <family val="2"/>
      </rPr>
      <t>21</t>
    </r>
    <r>
      <rPr>
        <sz val="10"/>
        <rFont val="Trebuchet MS"/>
        <family val="2"/>
      </rPr>
      <t>H</t>
    </r>
    <r>
      <rPr>
        <vertAlign val="subscript"/>
        <sz val="10"/>
        <rFont val="Trebuchet MS"/>
        <family val="2"/>
      </rPr>
      <t>32</t>
    </r>
    <r>
      <rPr>
        <sz val="10"/>
        <rFont val="Trebuchet MS"/>
        <family val="2"/>
      </rPr>
      <t>N</t>
    </r>
    <r>
      <rPr>
        <vertAlign val="subscript"/>
        <sz val="10"/>
        <rFont val="Trebuchet MS"/>
        <family val="2"/>
      </rPr>
      <t>7</t>
    </r>
    <r>
      <rPr>
        <sz val="10"/>
        <rFont val="Trebuchet MS"/>
        <family val="2"/>
      </rPr>
      <t>O</t>
    </r>
    <r>
      <rPr>
        <vertAlign val="subscript"/>
        <sz val="10"/>
        <rFont val="Trebuchet MS"/>
        <family val="2"/>
      </rPr>
      <t>16</t>
    </r>
    <r>
      <rPr>
        <sz val="10"/>
        <rFont val="Trebuchet MS"/>
        <family val="2"/>
      </rPr>
      <t>P</t>
    </r>
    <r>
      <rPr>
        <vertAlign val="subscript"/>
        <sz val="10"/>
        <rFont val="Trebuchet MS"/>
        <family val="2"/>
      </rPr>
      <t>3</t>
    </r>
    <r>
      <rPr>
        <sz val="10"/>
        <rFont val="Trebuchet MS"/>
        <family val="2"/>
      </rPr>
      <t>S</t>
    </r>
  </si>
  <si>
    <t>PPP1r</t>
  </si>
  <si>
    <r>
      <t>C</t>
    </r>
    <r>
      <rPr>
        <vertAlign val="subscript"/>
        <sz val="10"/>
        <rFont val="Trebuchet MS"/>
        <family val="2"/>
      </rPr>
      <t>3</t>
    </r>
    <r>
      <rPr>
        <sz val="10"/>
        <rFont val="Trebuchet MS"/>
        <family val="2"/>
      </rPr>
      <t>H</t>
    </r>
    <r>
      <rPr>
        <vertAlign val="subscript"/>
        <sz val="10"/>
        <rFont val="Trebuchet MS"/>
        <family val="2"/>
      </rPr>
      <t>5</t>
    </r>
    <r>
      <rPr>
        <sz val="10"/>
        <rFont val="Trebuchet MS"/>
        <family val="2"/>
      </rPr>
      <t>O</t>
    </r>
    <r>
      <rPr>
        <vertAlign val="subscript"/>
        <sz val="10"/>
        <rFont val="Trebuchet MS"/>
        <family val="2"/>
      </rPr>
      <t>6</t>
    </r>
    <r>
      <rPr>
        <sz val="10"/>
        <rFont val="Trebuchet MS"/>
        <family val="2"/>
      </rPr>
      <t>P</t>
    </r>
  </si>
  <si>
    <t>PPP2r</t>
  </si>
  <si>
    <r>
      <t>C</t>
    </r>
    <r>
      <rPr>
        <vertAlign val="subscript"/>
        <sz val="10"/>
        <rFont val="Trebuchet MS"/>
        <family val="2"/>
      </rPr>
      <t>4</t>
    </r>
    <r>
      <rPr>
        <sz val="10"/>
        <rFont val="Trebuchet MS"/>
        <family val="2"/>
      </rPr>
      <t>H</t>
    </r>
    <r>
      <rPr>
        <vertAlign val="subscript"/>
        <sz val="10"/>
        <rFont val="Trebuchet MS"/>
        <family val="2"/>
      </rPr>
      <t>7</t>
    </r>
    <r>
      <rPr>
        <sz val="10"/>
        <rFont val="Trebuchet MS"/>
        <family val="2"/>
      </rPr>
      <t>O</t>
    </r>
    <r>
      <rPr>
        <vertAlign val="subscript"/>
        <sz val="10"/>
        <rFont val="Trebuchet MS"/>
        <family val="2"/>
      </rPr>
      <t>7</t>
    </r>
    <r>
      <rPr>
        <sz val="10"/>
        <rFont val="Trebuchet MS"/>
        <family val="2"/>
      </rPr>
      <t>P</t>
    </r>
  </si>
  <si>
    <t>PPP3</t>
  </si>
  <si>
    <r>
      <t>C</t>
    </r>
    <r>
      <rPr>
        <vertAlign val="subscript"/>
        <sz val="10"/>
        <rFont val="Trebuchet MS"/>
        <family val="2"/>
      </rPr>
      <t>2</t>
    </r>
    <r>
      <rPr>
        <sz val="10"/>
        <rFont val="Trebuchet MS"/>
        <family val="2"/>
      </rPr>
      <t>H</t>
    </r>
    <r>
      <rPr>
        <vertAlign val="subscript"/>
        <sz val="10"/>
        <rFont val="Trebuchet MS"/>
        <family val="2"/>
      </rPr>
      <t>6</t>
    </r>
    <r>
      <rPr>
        <sz val="10"/>
        <rFont val="Trebuchet MS"/>
        <family val="2"/>
      </rPr>
      <t>O</t>
    </r>
  </si>
  <si>
    <t>PPP4</t>
  </si>
  <si>
    <t>PPP5</t>
  </si>
  <si>
    <r>
      <t>CHO</t>
    </r>
    <r>
      <rPr>
        <vertAlign val="subscript"/>
        <sz val="10"/>
        <rFont val="Trebuchet MS"/>
        <family val="2"/>
      </rPr>
      <t>2</t>
    </r>
  </si>
  <si>
    <t>PPP6r</t>
  </si>
  <si>
    <t>PPP7r</t>
  </si>
  <si>
    <r>
      <t>C</t>
    </r>
    <r>
      <rPr>
        <vertAlign val="subscript"/>
        <sz val="10"/>
        <rFont val="Trebuchet MS"/>
        <family val="2"/>
      </rPr>
      <t>6</t>
    </r>
    <r>
      <rPr>
        <sz val="10"/>
        <rFont val="Trebuchet MS"/>
        <family val="2"/>
      </rPr>
      <t>H</t>
    </r>
    <r>
      <rPr>
        <vertAlign val="subscript"/>
        <sz val="10"/>
        <rFont val="Trebuchet MS"/>
        <family val="2"/>
      </rPr>
      <t>11</t>
    </r>
    <r>
      <rPr>
        <sz val="10"/>
        <rFont val="Trebuchet MS"/>
        <family val="2"/>
      </rPr>
      <t>O</t>
    </r>
    <r>
      <rPr>
        <vertAlign val="subscript"/>
        <sz val="10"/>
        <rFont val="Trebuchet MS"/>
        <family val="2"/>
      </rPr>
      <t>9</t>
    </r>
    <r>
      <rPr>
        <sz val="10"/>
        <rFont val="Trebuchet MS"/>
        <family val="2"/>
      </rPr>
      <t>P</t>
    </r>
  </si>
  <si>
    <t>PPP8r</t>
  </si>
  <si>
    <r>
      <t>C</t>
    </r>
    <r>
      <rPr>
        <vertAlign val="subscript"/>
        <sz val="10"/>
        <rFont val="Trebuchet MS"/>
        <family val="2"/>
      </rPr>
      <t>6</t>
    </r>
    <r>
      <rPr>
        <sz val="10"/>
        <rFont val="Trebuchet MS"/>
        <family val="2"/>
      </rPr>
      <t>H</t>
    </r>
    <r>
      <rPr>
        <vertAlign val="subscript"/>
        <sz val="10"/>
        <rFont val="Trebuchet MS"/>
        <family val="2"/>
      </rPr>
      <t>10</t>
    </r>
    <r>
      <rPr>
        <sz val="10"/>
        <rFont val="Trebuchet MS"/>
        <family val="2"/>
      </rPr>
      <t>O</t>
    </r>
    <r>
      <rPr>
        <vertAlign val="subscript"/>
        <sz val="10"/>
        <rFont val="Trebuchet MS"/>
        <family val="2"/>
      </rPr>
      <t>12</t>
    </r>
    <r>
      <rPr>
        <sz val="10"/>
        <rFont val="Trebuchet MS"/>
        <family val="2"/>
      </rPr>
      <t>P</t>
    </r>
    <r>
      <rPr>
        <vertAlign val="subscript"/>
        <sz val="10"/>
        <rFont val="Trebuchet MS"/>
        <family val="2"/>
      </rPr>
      <t>2</t>
    </r>
  </si>
  <si>
    <t>PPP9r</t>
  </si>
  <si>
    <r>
      <t>C</t>
    </r>
    <r>
      <rPr>
        <vertAlign val="subscript"/>
        <sz val="10"/>
        <rFont val="Trebuchet MS"/>
        <family val="2"/>
      </rPr>
      <t>4</t>
    </r>
    <r>
      <rPr>
        <sz val="10"/>
        <rFont val="Trebuchet MS"/>
        <family val="2"/>
      </rPr>
      <t>H</t>
    </r>
    <r>
      <rPr>
        <vertAlign val="subscript"/>
        <sz val="10"/>
        <rFont val="Trebuchet MS"/>
        <family val="2"/>
      </rPr>
      <t>2</t>
    </r>
    <r>
      <rPr>
        <sz val="10"/>
        <rFont val="Trebuchet MS"/>
        <family val="2"/>
      </rPr>
      <t>O</t>
    </r>
    <r>
      <rPr>
        <vertAlign val="subscript"/>
        <sz val="10"/>
        <rFont val="Trebuchet MS"/>
        <family val="2"/>
      </rPr>
      <t>4</t>
    </r>
  </si>
  <si>
    <t>PPP10r</t>
  </si>
  <si>
    <t>TCA1</t>
  </si>
  <si>
    <r>
      <t>C</t>
    </r>
    <r>
      <rPr>
        <vertAlign val="subscript"/>
        <sz val="10"/>
        <rFont val="Trebuchet MS"/>
        <family val="2"/>
      </rPr>
      <t>6</t>
    </r>
    <r>
      <rPr>
        <sz val="10"/>
        <rFont val="Trebuchet MS"/>
        <family val="2"/>
      </rPr>
      <t>H</t>
    </r>
    <r>
      <rPr>
        <vertAlign val="subscript"/>
        <sz val="10"/>
        <rFont val="Trebuchet MS"/>
        <family val="2"/>
      </rPr>
      <t>12</t>
    </r>
    <r>
      <rPr>
        <sz val="10"/>
        <rFont val="Trebuchet MS"/>
        <family val="2"/>
      </rPr>
      <t>O</t>
    </r>
    <r>
      <rPr>
        <vertAlign val="subscript"/>
        <sz val="10"/>
        <rFont val="Trebuchet MS"/>
        <family val="2"/>
      </rPr>
      <t>6</t>
    </r>
  </si>
  <si>
    <t>TCA2r</t>
  </si>
  <si>
    <t>TCA3</t>
  </si>
  <si>
    <t>TCA4</t>
  </si>
  <si>
    <r>
      <t>C</t>
    </r>
    <r>
      <rPr>
        <vertAlign val="subscript"/>
        <sz val="10"/>
        <rFont val="Trebuchet MS"/>
        <family val="2"/>
      </rPr>
      <t>5</t>
    </r>
    <r>
      <rPr>
        <sz val="10"/>
        <rFont val="Trebuchet MS"/>
        <family val="2"/>
      </rPr>
      <t>H</t>
    </r>
    <r>
      <rPr>
        <vertAlign val="subscript"/>
        <sz val="10"/>
        <rFont val="Trebuchet MS"/>
        <family val="2"/>
      </rPr>
      <t>8</t>
    </r>
    <r>
      <rPr>
        <sz val="10"/>
        <rFont val="Trebuchet MS"/>
        <family val="2"/>
      </rPr>
      <t>NO</t>
    </r>
    <r>
      <rPr>
        <vertAlign val="subscript"/>
        <sz val="10"/>
        <rFont val="Trebuchet MS"/>
        <family val="2"/>
      </rPr>
      <t>4</t>
    </r>
  </si>
  <si>
    <t>TCA5r</t>
  </si>
  <si>
    <r>
      <t>C</t>
    </r>
    <r>
      <rPr>
        <vertAlign val="subscript"/>
        <sz val="10"/>
        <rFont val="Trebuchet MS"/>
        <family val="2"/>
      </rPr>
      <t>5</t>
    </r>
    <r>
      <rPr>
        <sz val="10"/>
        <rFont val="Trebuchet MS"/>
        <family val="2"/>
      </rPr>
      <t>H</t>
    </r>
    <r>
      <rPr>
        <vertAlign val="subscript"/>
        <sz val="10"/>
        <rFont val="Trebuchet MS"/>
        <family val="2"/>
      </rPr>
      <t>10</t>
    </r>
    <r>
      <rPr>
        <sz val="10"/>
        <rFont val="Trebuchet MS"/>
        <family val="2"/>
      </rPr>
      <t>N</t>
    </r>
    <r>
      <rPr>
        <vertAlign val="subscript"/>
        <sz val="10"/>
        <rFont val="Trebuchet MS"/>
        <family val="2"/>
      </rPr>
      <t>2</t>
    </r>
    <r>
      <rPr>
        <sz val="10"/>
        <rFont val="Trebuchet MS"/>
        <family val="2"/>
      </rPr>
      <t>O</t>
    </r>
    <r>
      <rPr>
        <vertAlign val="subscript"/>
        <sz val="10"/>
        <rFont val="Trebuchet MS"/>
        <family val="2"/>
      </rPr>
      <t>3</t>
    </r>
  </si>
  <si>
    <t>TCA6</t>
  </si>
  <si>
    <r>
      <t>C</t>
    </r>
    <r>
      <rPr>
        <vertAlign val="subscript"/>
        <sz val="10"/>
        <rFont val="Trebuchet MS"/>
        <family val="2"/>
      </rPr>
      <t>2</t>
    </r>
    <r>
      <rPr>
        <sz val="10"/>
        <rFont val="Trebuchet MS"/>
        <family val="2"/>
      </rPr>
      <t>HO</t>
    </r>
    <r>
      <rPr>
        <vertAlign val="subscript"/>
        <sz val="10"/>
        <rFont val="Trebuchet MS"/>
        <family val="2"/>
      </rPr>
      <t>3</t>
    </r>
  </si>
  <si>
    <t>Q + succinate + 0.046 MRE ==&gt; fumarate + QH2</t>
  </si>
  <si>
    <t>TCA7</t>
  </si>
  <si>
    <t>fumarate + QH2 + 0.046 MRE ==&gt; Q + succinate</t>
  </si>
  <si>
    <t>TCA8r</t>
  </si>
  <si>
    <r>
      <t>H</t>
    </r>
    <r>
      <rPr>
        <vertAlign val="subscript"/>
        <sz val="10"/>
        <rFont val="Trebuchet MS"/>
        <family val="2"/>
      </rPr>
      <t>2</t>
    </r>
    <r>
      <rPr>
        <sz val="10"/>
        <rFont val="Trebuchet MS"/>
        <family val="2"/>
      </rPr>
      <t>O</t>
    </r>
  </si>
  <si>
    <t>TCA9r</t>
  </si>
  <si>
    <t>AP1</t>
  </si>
  <si>
    <t>AP2</t>
  </si>
  <si>
    <t>AP3</t>
  </si>
  <si>
    <r>
      <t>C</t>
    </r>
    <r>
      <rPr>
        <vertAlign val="subscript"/>
        <sz val="10"/>
        <rFont val="Trebuchet MS"/>
        <family val="2"/>
      </rPr>
      <t>3</t>
    </r>
    <r>
      <rPr>
        <sz val="10"/>
        <rFont val="Trebuchet MS"/>
        <family val="2"/>
      </rPr>
      <t>H</t>
    </r>
    <r>
      <rPr>
        <vertAlign val="subscript"/>
        <sz val="10"/>
        <rFont val="Trebuchet MS"/>
        <family val="2"/>
      </rPr>
      <t>5</t>
    </r>
    <r>
      <rPr>
        <sz val="10"/>
        <rFont val="Trebuchet MS"/>
        <family val="2"/>
      </rPr>
      <t>O</t>
    </r>
    <r>
      <rPr>
        <vertAlign val="subscript"/>
        <sz val="10"/>
        <rFont val="Trebuchet MS"/>
        <family val="2"/>
      </rPr>
      <t>3</t>
    </r>
  </si>
  <si>
    <t>IM1</t>
  </si>
  <si>
    <t>IM2</t>
  </si>
  <si>
    <r>
      <t>C</t>
    </r>
    <r>
      <rPr>
        <vertAlign val="subscript"/>
        <sz val="10"/>
        <rFont val="Trebuchet MS"/>
        <family val="2"/>
      </rPr>
      <t>4</t>
    </r>
    <r>
      <rPr>
        <sz val="10"/>
        <rFont val="Trebuchet MS"/>
        <family val="2"/>
      </rPr>
      <t>H</t>
    </r>
    <r>
      <rPr>
        <vertAlign val="subscript"/>
        <sz val="10"/>
        <rFont val="Trebuchet MS"/>
        <family val="2"/>
      </rPr>
      <t>4</t>
    </r>
    <r>
      <rPr>
        <sz val="10"/>
        <rFont val="Trebuchet MS"/>
        <family val="2"/>
      </rPr>
      <t>O</t>
    </r>
    <r>
      <rPr>
        <vertAlign val="subscript"/>
        <sz val="10"/>
        <rFont val="Trebuchet MS"/>
        <family val="2"/>
      </rPr>
      <t>5</t>
    </r>
  </si>
  <si>
    <t>IM3</t>
  </si>
  <si>
    <r>
      <t>C</t>
    </r>
    <r>
      <rPr>
        <vertAlign val="subscript"/>
        <sz val="10"/>
        <rFont val="Trebuchet MS"/>
        <family val="2"/>
      </rPr>
      <t>21</t>
    </r>
    <r>
      <rPr>
        <sz val="10"/>
        <rFont val="Trebuchet MS"/>
        <family val="2"/>
      </rPr>
      <t>H</t>
    </r>
    <r>
      <rPr>
        <vertAlign val="subscript"/>
        <sz val="10"/>
        <rFont val="Trebuchet MS"/>
        <family val="2"/>
      </rPr>
      <t>26</t>
    </r>
    <r>
      <rPr>
        <sz val="10"/>
        <rFont val="Trebuchet MS"/>
        <family val="2"/>
      </rPr>
      <t>N</t>
    </r>
    <r>
      <rPr>
        <vertAlign val="subscript"/>
        <sz val="10"/>
        <rFont val="Trebuchet MS"/>
        <family val="2"/>
      </rPr>
      <t>7</t>
    </r>
    <r>
      <rPr>
        <sz val="10"/>
        <rFont val="Trebuchet MS"/>
        <family val="2"/>
      </rPr>
      <t>O</t>
    </r>
    <r>
      <rPr>
        <vertAlign val="subscript"/>
        <sz val="10"/>
        <rFont val="Trebuchet MS"/>
        <family val="2"/>
      </rPr>
      <t>14</t>
    </r>
    <r>
      <rPr>
        <sz val="10"/>
        <rFont val="Trebuchet MS"/>
        <family val="2"/>
      </rPr>
      <t>P</t>
    </r>
    <r>
      <rPr>
        <vertAlign val="subscript"/>
        <sz val="10"/>
        <rFont val="Trebuchet MS"/>
        <family val="2"/>
      </rPr>
      <t>2</t>
    </r>
  </si>
  <si>
    <t>IM3b</t>
  </si>
  <si>
    <r>
      <t>C</t>
    </r>
    <r>
      <rPr>
        <vertAlign val="subscript"/>
        <sz val="10"/>
        <rFont val="Trebuchet MS"/>
        <family val="2"/>
      </rPr>
      <t>21</t>
    </r>
    <r>
      <rPr>
        <sz val="10"/>
        <rFont val="Trebuchet MS"/>
        <family val="2"/>
      </rPr>
      <t>H</t>
    </r>
    <r>
      <rPr>
        <vertAlign val="subscript"/>
        <sz val="10"/>
        <rFont val="Trebuchet MS"/>
        <family val="2"/>
      </rPr>
      <t>27</t>
    </r>
    <r>
      <rPr>
        <sz val="10"/>
        <rFont val="Trebuchet MS"/>
        <family val="2"/>
      </rPr>
      <t>N</t>
    </r>
    <r>
      <rPr>
        <vertAlign val="subscript"/>
        <sz val="10"/>
        <rFont val="Trebuchet MS"/>
        <family val="2"/>
      </rPr>
      <t>7</t>
    </r>
    <r>
      <rPr>
        <sz val="10"/>
        <rFont val="Trebuchet MS"/>
        <family val="2"/>
      </rPr>
      <t>O</t>
    </r>
    <r>
      <rPr>
        <vertAlign val="subscript"/>
        <sz val="10"/>
        <rFont val="Trebuchet MS"/>
        <family val="2"/>
      </rPr>
      <t>14</t>
    </r>
    <r>
      <rPr>
        <sz val="10"/>
        <rFont val="Trebuchet MS"/>
        <family val="2"/>
      </rPr>
      <t>P</t>
    </r>
    <r>
      <rPr>
        <vertAlign val="subscript"/>
        <sz val="10"/>
        <rFont val="Trebuchet MS"/>
        <family val="2"/>
      </rPr>
      <t>2</t>
    </r>
  </si>
  <si>
    <t>lactate + Q + 0.046 MRE ==&gt; pyruvate + QH2</t>
  </si>
  <si>
    <t>IM4</t>
  </si>
  <si>
    <r>
      <t>C</t>
    </r>
    <r>
      <rPr>
        <vertAlign val="subscript"/>
        <sz val="10"/>
        <rFont val="Trebuchet MS"/>
        <family val="2"/>
      </rPr>
      <t>21</t>
    </r>
    <r>
      <rPr>
        <sz val="10"/>
        <rFont val="Trebuchet MS"/>
        <family val="2"/>
      </rPr>
      <t>H</t>
    </r>
    <r>
      <rPr>
        <vertAlign val="subscript"/>
        <sz val="10"/>
        <rFont val="Trebuchet MS"/>
        <family val="2"/>
      </rPr>
      <t>25</t>
    </r>
    <r>
      <rPr>
        <sz val="10"/>
        <rFont val="Trebuchet MS"/>
        <family val="2"/>
      </rPr>
      <t>N</t>
    </r>
    <r>
      <rPr>
        <vertAlign val="subscript"/>
        <sz val="10"/>
        <rFont val="Trebuchet MS"/>
        <family val="2"/>
      </rPr>
      <t>7</t>
    </r>
    <r>
      <rPr>
        <sz val="10"/>
        <rFont val="Trebuchet MS"/>
        <family val="2"/>
      </rPr>
      <t>O</t>
    </r>
    <r>
      <rPr>
        <vertAlign val="subscript"/>
        <sz val="10"/>
        <rFont val="Trebuchet MS"/>
        <family val="2"/>
      </rPr>
      <t>17</t>
    </r>
    <r>
      <rPr>
        <sz val="10"/>
        <rFont val="Trebuchet MS"/>
        <family val="2"/>
      </rPr>
      <t>P</t>
    </r>
    <r>
      <rPr>
        <vertAlign val="subscript"/>
        <sz val="10"/>
        <rFont val="Trebuchet MS"/>
        <family val="2"/>
      </rPr>
      <t>3</t>
    </r>
  </si>
  <si>
    <t>IM5r</t>
  </si>
  <si>
    <r>
      <t>C</t>
    </r>
    <r>
      <rPr>
        <vertAlign val="subscript"/>
        <sz val="10"/>
        <rFont val="Trebuchet MS"/>
        <family val="2"/>
      </rPr>
      <t>21</t>
    </r>
    <r>
      <rPr>
        <sz val="10"/>
        <rFont val="Trebuchet MS"/>
        <family val="2"/>
      </rPr>
      <t>H</t>
    </r>
    <r>
      <rPr>
        <vertAlign val="subscript"/>
        <sz val="10"/>
        <rFont val="Trebuchet MS"/>
        <family val="2"/>
      </rPr>
      <t>26</t>
    </r>
    <r>
      <rPr>
        <sz val="10"/>
        <rFont val="Trebuchet MS"/>
        <family val="2"/>
      </rPr>
      <t>N</t>
    </r>
    <r>
      <rPr>
        <vertAlign val="subscript"/>
        <sz val="10"/>
        <rFont val="Trebuchet MS"/>
        <family val="2"/>
      </rPr>
      <t>7</t>
    </r>
    <r>
      <rPr>
        <sz val="10"/>
        <rFont val="Trebuchet MS"/>
        <family val="2"/>
      </rPr>
      <t>O</t>
    </r>
    <r>
      <rPr>
        <vertAlign val="subscript"/>
        <sz val="10"/>
        <rFont val="Trebuchet MS"/>
        <family val="2"/>
      </rPr>
      <t>17</t>
    </r>
    <r>
      <rPr>
        <sz val="10"/>
        <rFont val="Trebuchet MS"/>
        <family val="2"/>
      </rPr>
      <t>P</t>
    </r>
    <r>
      <rPr>
        <vertAlign val="subscript"/>
        <sz val="10"/>
        <rFont val="Trebuchet MS"/>
        <family val="2"/>
      </rPr>
      <t>3</t>
    </r>
  </si>
  <si>
    <t>IM6</t>
  </si>
  <si>
    <t>NH3</t>
  </si>
  <si>
    <r>
      <t>H</t>
    </r>
    <r>
      <rPr>
        <vertAlign val="subscript"/>
        <sz val="10"/>
        <rFont val="Trebuchet MS"/>
        <family val="2"/>
      </rPr>
      <t>3</t>
    </r>
    <r>
      <rPr>
        <sz val="10"/>
        <rFont val="Trebuchet MS"/>
        <family val="2"/>
      </rPr>
      <t>N</t>
    </r>
  </si>
  <si>
    <t>H2O + pyruvate + Q + 0.189 MRE ==&gt; acetate + carbon_dioxide + QH2</t>
  </si>
  <si>
    <t>IM7</t>
  </si>
  <si>
    <t>NH3_ext</t>
  </si>
  <si>
    <t>formate + 2 H+_cyt + Q + 0.3 MRE ==&gt; carbon_dioxide + H+_pmf + QH2</t>
  </si>
  <si>
    <t>IM8</t>
  </si>
  <si>
    <t>O2</t>
  </si>
  <si>
    <r>
      <t>O</t>
    </r>
    <r>
      <rPr>
        <vertAlign val="subscript"/>
        <sz val="11"/>
        <rFont val="Calibri"/>
        <family val="2"/>
      </rPr>
      <t>2</t>
    </r>
  </si>
  <si>
    <t>R1</t>
  </si>
  <si>
    <t>O2_ext</t>
  </si>
  <si>
    <t>5 H+_cyt + NADH + Q + 1.067 MRE ==&gt; NAD + 4 H+_pmf + QH2</t>
  </si>
  <si>
    <t>R2</t>
  </si>
  <si>
    <r>
      <t>C</t>
    </r>
    <r>
      <rPr>
        <vertAlign val="subscript"/>
        <sz val="10"/>
        <rFont val="Trebuchet MS"/>
        <family val="2"/>
      </rPr>
      <t>4</t>
    </r>
    <r>
      <rPr>
        <sz val="10"/>
        <rFont val="Trebuchet MS"/>
        <family val="2"/>
      </rPr>
      <t>H</t>
    </r>
    <r>
      <rPr>
        <vertAlign val="subscript"/>
        <sz val="10"/>
        <rFont val="Trebuchet MS"/>
        <family val="2"/>
      </rPr>
      <t>2</t>
    </r>
    <r>
      <rPr>
        <sz val="10"/>
        <rFont val="Trebuchet MS"/>
        <family val="2"/>
      </rPr>
      <t>O</t>
    </r>
    <r>
      <rPr>
        <vertAlign val="subscript"/>
        <sz val="10"/>
        <rFont val="Trebuchet MS"/>
        <family val="2"/>
      </rPr>
      <t>5</t>
    </r>
  </si>
  <si>
    <t>H+_cyt + NADH + Q + 0.092 MRE ==&gt; NAD + QH2</t>
  </si>
  <si>
    <t>R3</t>
  </si>
  <si>
    <r>
      <t>C</t>
    </r>
    <r>
      <rPr>
        <vertAlign val="subscript"/>
        <sz val="10"/>
        <rFont val="Trebuchet MS"/>
        <family val="2"/>
      </rPr>
      <t>3</t>
    </r>
    <r>
      <rPr>
        <sz val="10"/>
        <rFont val="Trebuchet MS"/>
        <family val="2"/>
      </rPr>
      <t>H</t>
    </r>
    <r>
      <rPr>
        <vertAlign val="subscript"/>
        <sz val="10"/>
        <rFont val="Trebuchet MS"/>
        <family val="2"/>
      </rPr>
      <t>2</t>
    </r>
    <r>
      <rPr>
        <sz val="10"/>
        <rFont val="Trebuchet MS"/>
        <family val="2"/>
      </rPr>
      <t>O</t>
    </r>
    <r>
      <rPr>
        <vertAlign val="subscript"/>
        <sz val="10"/>
        <rFont val="Trebuchet MS"/>
        <family val="2"/>
      </rPr>
      <t>6</t>
    </r>
    <r>
      <rPr>
        <sz val="10"/>
        <rFont val="Trebuchet MS"/>
        <family val="2"/>
      </rPr>
      <t>P</t>
    </r>
  </si>
  <si>
    <t>4 H+_cyt + dioxygen + 2 QH2 + 0.162 MRE ==&gt; 2 H2O + 4 H+_pmf + 2 Q</t>
  </si>
  <si>
    <t>R4</t>
  </si>
  <si>
    <r>
      <t>C</t>
    </r>
    <r>
      <rPr>
        <vertAlign val="subscript"/>
        <sz val="10"/>
        <rFont val="Trebuchet MS"/>
        <family val="2"/>
      </rPr>
      <t>3</t>
    </r>
    <r>
      <rPr>
        <sz val="10"/>
        <rFont val="Trebuchet MS"/>
        <family val="2"/>
      </rPr>
      <t>H</t>
    </r>
    <r>
      <rPr>
        <vertAlign val="subscript"/>
        <sz val="10"/>
        <rFont val="Trebuchet MS"/>
        <family val="2"/>
      </rPr>
      <t>4</t>
    </r>
    <r>
      <rPr>
        <sz val="10"/>
        <rFont val="Trebuchet MS"/>
        <family val="2"/>
      </rPr>
      <t>O</t>
    </r>
    <r>
      <rPr>
        <vertAlign val="subscript"/>
        <sz val="10"/>
        <rFont val="Trebuchet MS"/>
        <family val="2"/>
      </rPr>
      <t>7</t>
    </r>
    <r>
      <rPr>
        <sz val="10"/>
        <rFont val="Trebuchet MS"/>
        <family val="2"/>
      </rPr>
      <t>P</t>
    </r>
  </si>
  <si>
    <t>R5</t>
  </si>
  <si>
    <t>Pi</t>
  </si>
  <si>
    <r>
      <t>HO</t>
    </r>
    <r>
      <rPr>
        <vertAlign val="subscript"/>
        <sz val="10"/>
        <rFont val="Trebuchet MS"/>
        <family val="2"/>
      </rPr>
      <t>4</t>
    </r>
    <r>
      <rPr>
        <sz val="10"/>
        <rFont val="Trebuchet MS"/>
        <family val="2"/>
      </rPr>
      <t>P</t>
    </r>
  </si>
  <si>
    <t>8 H+_cyt + dioxygen + 2 QH2 + 0.117 MRE ==&gt; 2 H2O + 8 H+_pmf + 2 Q</t>
  </si>
  <si>
    <t>R6r</t>
  </si>
  <si>
    <t>Pi_ext</t>
  </si>
  <si>
    <t>ADP + phosphate + 4 H+_pmf + 0.13 MRE &lt;==&gt; ATP + H2O + 3 H+_cyt</t>
  </si>
  <si>
    <t>R7</t>
  </si>
  <si>
    <t>PMF</t>
  </si>
  <si>
    <t>R8</t>
  </si>
  <si>
    <r>
      <t>HO</t>
    </r>
    <r>
      <rPr>
        <vertAlign val="subscript"/>
        <sz val="10"/>
        <rFont val="Trebuchet MS"/>
        <family val="2"/>
      </rPr>
      <t>7</t>
    </r>
    <r>
      <rPr>
        <sz val="10"/>
        <rFont val="Trebuchet MS"/>
        <family val="2"/>
      </rPr>
      <t>P</t>
    </r>
    <r>
      <rPr>
        <vertAlign val="subscript"/>
        <sz val="10"/>
        <rFont val="Trebuchet MS"/>
        <family val="2"/>
      </rPr>
      <t>2</t>
    </r>
  </si>
  <si>
    <t>NADH + NADP + H+_pmf + 0.092 MRE ==&gt; H+_cyt + NAD + NADPH</t>
  </si>
  <si>
    <t>GS1r</t>
  </si>
  <si>
    <r>
      <t>C</t>
    </r>
    <r>
      <rPr>
        <vertAlign val="subscript"/>
        <sz val="10"/>
        <rFont val="Trebuchet MS"/>
        <family val="2"/>
      </rPr>
      <t>3</t>
    </r>
    <r>
      <rPr>
        <sz val="10"/>
        <rFont val="Trebuchet MS"/>
        <family val="2"/>
      </rPr>
      <t>H</t>
    </r>
    <r>
      <rPr>
        <vertAlign val="subscript"/>
        <sz val="10"/>
        <rFont val="Trebuchet MS"/>
        <family val="2"/>
      </rPr>
      <t>3</t>
    </r>
    <r>
      <rPr>
        <sz val="10"/>
        <rFont val="Trebuchet MS"/>
        <family val="2"/>
      </rPr>
      <t>O</t>
    </r>
    <r>
      <rPr>
        <vertAlign val="subscript"/>
        <sz val="10"/>
        <rFont val="Trebuchet MS"/>
        <family val="2"/>
      </rPr>
      <t>3</t>
    </r>
  </si>
  <si>
    <t>GS2</t>
  </si>
  <si>
    <r>
      <t>C</t>
    </r>
    <r>
      <rPr>
        <vertAlign val="subscript"/>
        <sz val="11"/>
        <rFont val="Trebuchet MS"/>
        <family val="2"/>
      </rPr>
      <t>14</t>
    </r>
    <r>
      <rPr>
        <sz val="10"/>
        <rFont val="Trebuchet MS"/>
        <family val="2"/>
      </rPr>
      <t>H</t>
    </r>
    <r>
      <rPr>
        <vertAlign val="subscript"/>
        <sz val="11"/>
        <rFont val="Trebuchet MS"/>
        <family val="2"/>
      </rPr>
      <t>18</t>
    </r>
    <r>
      <rPr>
        <sz val="10"/>
        <rFont val="Trebuchet MS"/>
        <family val="2"/>
      </rPr>
      <t>O</t>
    </r>
    <r>
      <rPr>
        <vertAlign val="subscript"/>
        <sz val="11"/>
        <rFont val="Trebuchet MS"/>
        <family val="2"/>
      </rPr>
      <t>4</t>
    </r>
  </si>
  <si>
    <t>AA1</t>
  </si>
  <si>
    <r>
      <t>C</t>
    </r>
    <r>
      <rPr>
        <vertAlign val="subscript"/>
        <sz val="11"/>
        <rFont val="Trebuchet MS"/>
        <family val="2"/>
      </rPr>
      <t>14</t>
    </r>
    <r>
      <rPr>
        <sz val="10"/>
        <rFont val="Trebuchet MS"/>
        <family val="2"/>
      </rPr>
      <t>H</t>
    </r>
    <r>
      <rPr>
        <vertAlign val="subscript"/>
        <sz val="11"/>
        <rFont val="Trebuchet MS"/>
        <family val="2"/>
      </rPr>
      <t>20</t>
    </r>
    <r>
      <rPr>
        <sz val="10"/>
        <rFont val="Trebuchet MS"/>
        <family val="2"/>
      </rPr>
      <t>O</t>
    </r>
    <r>
      <rPr>
        <vertAlign val="subscript"/>
        <sz val="11"/>
        <rFont val="Trebuchet MS"/>
        <family val="2"/>
      </rPr>
      <t>4</t>
    </r>
  </si>
  <si>
    <t>AA2</t>
  </si>
  <si>
    <r>
      <t>C</t>
    </r>
    <r>
      <rPr>
        <vertAlign val="subscript"/>
        <sz val="10"/>
        <rFont val="Trebuchet MS"/>
        <family val="2"/>
      </rPr>
      <t>5</t>
    </r>
    <r>
      <rPr>
        <sz val="10"/>
        <rFont val="Trebuchet MS"/>
        <family val="2"/>
      </rPr>
      <t>H</t>
    </r>
    <r>
      <rPr>
        <vertAlign val="subscript"/>
        <sz val="10"/>
        <rFont val="Trebuchet MS"/>
        <family val="2"/>
      </rPr>
      <t>9</t>
    </r>
    <r>
      <rPr>
        <sz val="10"/>
        <rFont val="Trebuchet MS"/>
        <family val="2"/>
      </rPr>
      <t>O</t>
    </r>
    <r>
      <rPr>
        <vertAlign val="subscript"/>
        <sz val="10"/>
        <rFont val="Trebuchet MS"/>
        <family val="2"/>
      </rPr>
      <t>8</t>
    </r>
    <r>
      <rPr>
        <sz val="10"/>
        <rFont val="Trebuchet MS"/>
        <family val="2"/>
      </rPr>
      <t>P</t>
    </r>
  </si>
  <si>
    <t>AA3r</t>
  </si>
  <si>
    <t>ATPm</t>
  </si>
  <si>
    <r>
      <t>H</t>
    </r>
    <r>
      <rPr>
        <vertAlign val="subscript"/>
        <sz val="10"/>
        <rFont val="Trebuchet MS"/>
        <family val="2"/>
      </rPr>
      <t>2</t>
    </r>
    <r>
      <rPr>
        <sz val="10"/>
        <rFont val="Trebuchet MS"/>
        <family val="2"/>
      </rPr>
      <t>S</t>
    </r>
  </si>
  <si>
    <t>ADK</t>
  </si>
  <si>
    <r>
      <t>C</t>
    </r>
    <r>
      <rPr>
        <vertAlign val="subscript"/>
        <sz val="10"/>
        <rFont val="Trebuchet MS"/>
        <family val="2"/>
      </rPr>
      <t>7</t>
    </r>
    <r>
      <rPr>
        <sz val="10"/>
        <rFont val="Trebuchet MS"/>
        <family val="2"/>
      </rPr>
      <t>H</t>
    </r>
    <r>
      <rPr>
        <vertAlign val="subscript"/>
        <sz val="10"/>
        <rFont val="Trebuchet MS"/>
        <family val="2"/>
      </rPr>
      <t>13</t>
    </r>
    <r>
      <rPr>
        <sz val="10"/>
        <rFont val="Trebuchet MS"/>
        <family val="2"/>
      </rPr>
      <t>O</t>
    </r>
    <r>
      <rPr>
        <vertAlign val="subscript"/>
        <sz val="10"/>
        <rFont val="Trebuchet MS"/>
        <family val="2"/>
      </rPr>
      <t>10</t>
    </r>
    <r>
      <rPr>
        <sz val="10"/>
        <rFont val="Trebuchet MS"/>
        <family val="2"/>
      </rPr>
      <t>P</t>
    </r>
  </si>
  <si>
    <t>PYRO</t>
  </si>
  <si>
    <t>SO4_ext</t>
  </si>
  <si>
    <r>
      <t>O</t>
    </r>
    <r>
      <rPr>
        <vertAlign val="subscript"/>
        <sz val="10"/>
        <rFont val="Trebuchet MS"/>
        <family val="2"/>
      </rPr>
      <t>4</t>
    </r>
    <r>
      <rPr>
        <sz val="10"/>
        <rFont val="Trebuchet MS"/>
        <family val="2"/>
      </rPr>
      <t>S</t>
    </r>
  </si>
  <si>
    <t>PH</t>
  </si>
  <si>
    <r>
      <t>C</t>
    </r>
    <r>
      <rPr>
        <vertAlign val="subscript"/>
        <sz val="10"/>
        <rFont val="Trebuchet MS"/>
        <family val="2"/>
      </rPr>
      <t>4</t>
    </r>
    <r>
      <rPr>
        <sz val="10"/>
        <rFont val="Trebuchet MS"/>
        <family val="2"/>
      </rPr>
      <t>H</t>
    </r>
    <r>
      <rPr>
        <vertAlign val="subscript"/>
        <sz val="10"/>
        <rFont val="Trebuchet MS"/>
        <family val="2"/>
      </rPr>
      <t>4</t>
    </r>
    <r>
      <rPr>
        <sz val="10"/>
        <rFont val="Trebuchet MS"/>
        <family val="2"/>
      </rPr>
      <t>O</t>
    </r>
    <r>
      <rPr>
        <vertAlign val="subscript"/>
        <sz val="10"/>
        <rFont val="Trebuchet MS"/>
        <family val="2"/>
      </rPr>
      <t>4</t>
    </r>
  </si>
  <si>
    <t>Phin</t>
  </si>
  <si>
    <r>
      <t>C</t>
    </r>
    <r>
      <rPr>
        <vertAlign val="subscript"/>
        <sz val="10"/>
        <rFont val="Trebuchet MS"/>
        <family val="2"/>
      </rPr>
      <t>25</t>
    </r>
    <r>
      <rPr>
        <sz val="10"/>
        <rFont val="Trebuchet MS"/>
        <family val="2"/>
      </rPr>
      <t>H</t>
    </r>
    <r>
      <rPr>
        <vertAlign val="subscript"/>
        <sz val="10"/>
        <rFont val="Trebuchet MS"/>
        <family val="2"/>
      </rPr>
      <t>35</t>
    </r>
    <r>
      <rPr>
        <sz val="10"/>
        <rFont val="Trebuchet MS"/>
        <family val="2"/>
      </rPr>
      <t>N</t>
    </r>
    <r>
      <rPr>
        <vertAlign val="subscript"/>
        <sz val="10"/>
        <rFont val="Trebuchet MS"/>
        <family val="2"/>
      </rPr>
      <t>7</t>
    </r>
    <r>
      <rPr>
        <sz val="10"/>
        <rFont val="Trebuchet MS"/>
        <family val="2"/>
      </rPr>
      <t>O</t>
    </r>
    <r>
      <rPr>
        <vertAlign val="subscript"/>
        <sz val="10"/>
        <rFont val="Trebuchet MS"/>
        <family val="2"/>
      </rPr>
      <t>19</t>
    </r>
    <r>
      <rPr>
        <sz val="10"/>
        <rFont val="Trebuchet MS"/>
        <family val="2"/>
      </rPr>
      <t>P</t>
    </r>
    <r>
      <rPr>
        <vertAlign val="subscript"/>
        <sz val="10"/>
        <rFont val="Trebuchet MS"/>
        <family val="2"/>
      </rPr>
      <t>3</t>
    </r>
    <r>
      <rPr>
        <sz val="10"/>
        <rFont val="Trebuchet MS"/>
        <family val="2"/>
      </rPr>
      <t>S</t>
    </r>
  </si>
  <si>
    <t>BIOM</t>
  </si>
  <si>
    <r>
      <t>C</t>
    </r>
    <r>
      <rPr>
        <vertAlign val="subscript"/>
        <sz val="10"/>
        <rFont val="Trebuchet MS"/>
        <family val="2"/>
      </rPr>
      <t>5</t>
    </r>
    <r>
      <rPr>
        <sz val="10"/>
        <rFont val="Trebuchet MS"/>
        <family val="2"/>
      </rPr>
      <t>H9O</t>
    </r>
    <r>
      <rPr>
        <vertAlign val="subscript"/>
        <sz val="10"/>
        <rFont val="Trebuchet MS"/>
        <family val="2"/>
      </rPr>
      <t>8</t>
    </r>
    <r>
      <rPr>
        <sz val="10"/>
        <rFont val="Trebuchet MS"/>
        <family val="2"/>
      </rPr>
      <t>P</t>
    </r>
  </si>
  <si>
    <t>T1</t>
  </si>
  <si>
    <t>T2</t>
  </si>
  <si>
    <r>
      <t>C</t>
    </r>
    <r>
      <rPr>
        <vertAlign val="subscript"/>
        <sz val="10"/>
        <rFont val="Trebuchet MS"/>
        <family val="2"/>
      </rPr>
      <t>3</t>
    </r>
    <r>
      <rPr>
        <sz val="10"/>
        <rFont val="Trebuchet MS"/>
        <family val="2"/>
      </rPr>
      <t>H</t>
    </r>
    <r>
      <rPr>
        <vertAlign val="subscript"/>
        <sz val="10"/>
        <rFont val="Trebuchet MS"/>
        <family val="2"/>
      </rPr>
      <t>4</t>
    </r>
    <r>
      <rPr>
        <sz val="10"/>
        <rFont val="Trebuchet MS"/>
        <family val="2"/>
      </rPr>
      <t>O</t>
    </r>
    <r>
      <rPr>
        <vertAlign val="subscript"/>
        <sz val="10"/>
        <rFont val="Trebuchet MS"/>
        <family val="2"/>
      </rPr>
      <t>10</t>
    </r>
    <r>
      <rPr>
        <sz val="10"/>
        <rFont val="Trebuchet MS"/>
        <family val="2"/>
      </rPr>
      <t>P</t>
    </r>
    <r>
      <rPr>
        <vertAlign val="subscript"/>
        <sz val="10"/>
        <rFont val="Trebuchet MS"/>
        <family val="2"/>
      </rPr>
      <t>2</t>
    </r>
  </si>
  <si>
    <t>acetate + H+_cyt ==&gt; acetate_ext + H+_ext</t>
  </si>
  <si>
    <t>T2in</t>
  </si>
  <si>
    <t>acetate_ext + H+_ext + 0.18 MRE + 2 Cmol + 8 Emol + Mol ==&gt; acetate + H+_cyt</t>
  </si>
  <si>
    <t>T3</t>
  </si>
  <si>
    <r>
      <t>C</t>
    </r>
    <r>
      <rPr>
        <vertAlign val="subscript"/>
        <sz val="10"/>
        <rFont val="Trebuchet MS"/>
        <family val="2"/>
      </rPr>
      <t>6</t>
    </r>
    <r>
      <rPr>
        <sz val="10"/>
        <rFont val="Trebuchet MS"/>
        <family val="2"/>
      </rPr>
      <t>H</t>
    </r>
    <r>
      <rPr>
        <vertAlign val="subscript"/>
        <sz val="10"/>
        <rFont val="Trebuchet MS"/>
        <family val="2"/>
      </rPr>
      <t>9</t>
    </r>
    <r>
      <rPr>
        <sz val="10"/>
        <rFont val="Trebuchet MS"/>
        <family val="2"/>
      </rPr>
      <t>O</t>
    </r>
    <r>
      <rPr>
        <vertAlign val="subscript"/>
        <sz val="10"/>
        <rFont val="Trebuchet MS"/>
        <family val="2"/>
      </rPr>
      <t>9</t>
    </r>
    <r>
      <rPr>
        <sz val="10"/>
        <rFont val="Trebuchet MS"/>
        <family val="2"/>
      </rPr>
      <t>P</t>
    </r>
  </si>
  <si>
    <t>ammonia_ext + 0.25 MRE ==&gt; ammonia</t>
  </si>
  <si>
    <t>T4</t>
  </si>
  <si>
    <r>
      <t>C</t>
    </r>
    <r>
      <rPr>
        <vertAlign val="subscript"/>
        <sz val="11"/>
        <rFont val="Trebuchet MS"/>
        <family val="2"/>
      </rPr>
      <t>6</t>
    </r>
    <r>
      <rPr>
        <sz val="10"/>
        <rFont val="Trebuchet MS"/>
        <family val="2"/>
      </rPr>
      <t>H</t>
    </r>
    <r>
      <rPr>
        <vertAlign val="subscript"/>
        <sz val="11"/>
        <rFont val="Trebuchet MS"/>
        <family val="2"/>
      </rPr>
      <t>8</t>
    </r>
    <r>
      <rPr>
        <sz val="10"/>
        <rFont val="Trebuchet MS"/>
        <family val="2"/>
      </rPr>
      <t>O</t>
    </r>
    <r>
      <rPr>
        <vertAlign val="subscript"/>
        <sz val="11"/>
        <rFont val="Trebuchet MS"/>
        <family val="2"/>
      </rPr>
      <t>9</t>
    </r>
    <r>
      <rPr>
        <sz val="10"/>
        <rFont val="Trebuchet MS"/>
        <family val="2"/>
      </rPr>
      <t>P</t>
    </r>
  </si>
  <si>
    <t>H+_cyt + lactate ==&gt; H+_ext + lactate_ext</t>
  </si>
  <si>
    <t>T4in</t>
  </si>
  <si>
    <t>H+_ext + lactate_ext + 0.18 MRE + 3 Cmol + 12 Emol + Mol ==&gt; H+_cyt + lactate</t>
  </si>
  <si>
    <t>T5</t>
  </si>
  <si>
    <t>formate + H+_cyt  ==&gt; formate_ext + H+_ext</t>
  </si>
  <si>
    <t>T6</t>
  </si>
  <si>
    <t>T6in</t>
  </si>
  <si>
    <r>
      <t>C</t>
    </r>
    <r>
      <rPr>
        <vertAlign val="subscript"/>
        <sz val="11"/>
        <rFont val="Calibri"/>
        <family val="2"/>
        <scheme val="minor"/>
      </rPr>
      <t>12</t>
    </r>
    <r>
      <rPr>
        <sz val="11"/>
        <rFont val="Calibri"/>
        <family val="2"/>
        <scheme val="minor"/>
      </rPr>
      <t>H</t>
    </r>
    <r>
      <rPr>
        <vertAlign val="subscript"/>
        <sz val="11"/>
        <rFont val="Calibri"/>
        <family val="2"/>
        <scheme val="minor"/>
      </rPr>
      <t>22</t>
    </r>
    <r>
      <rPr>
        <sz val="11"/>
        <rFont val="Calibri"/>
        <family val="2"/>
        <scheme val="minor"/>
      </rPr>
      <t>O</t>
    </r>
    <r>
      <rPr>
        <vertAlign val="subscript"/>
        <sz val="11"/>
        <rFont val="Calibri"/>
        <family val="2"/>
        <scheme val="minor"/>
      </rPr>
      <t>11</t>
    </r>
  </si>
  <si>
    <t>T7r</t>
  </si>
  <si>
    <r>
      <t>C</t>
    </r>
    <r>
      <rPr>
        <vertAlign val="subscript"/>
        <sz val="11"/>
        <rFont val="Calibri"/>
        <family val="2"/>
        <scheme val="minor"/>
      </rPr>
      <t>5</t>
    </r>
    <r>
      <rPr>
        <sz val="11"/>
        <rFont val="Calibri"/>
        <family val="2"/>
        <scheme val="minor"/>
      </rPr>
      <t>H</t>
    </r>
    <r>
      <rPr>
        <vertAlign val="subscript"/>
        <sz val="11"/>
        <rFont val="Calibri"/>
        <family val="2"/>
        <scheme val="minor"/>
      </rPr>
      <t>10</t>
    </r>
    <r>
      <rPr>
        <sz val="11"/>
        <rFont val="Calibri"/>
        <family val="2"/>
        <scheme val="minor"/>
      </rPr>
      <t>O</t>
    </r>
    <r>
      <rPr>
        <vertAlign val="subscript"/>
        <sz val="11"/>
        <rFont val="Calibri"/>
        <family val="2"/>
        <scheme val="minor"/>
      </rPr>
      <t>5</t>
    </r>
  </si>
  <si>
    <t>T8</t>
  </si>
  <si>
    <r>
      <t>C</t>
    </r>
    <r>
      <rPr>
        <vertAlign val="subscript"/>
        <sz val="11"/>
        <rFont val="Calibri"/>
        <family val="2"/>
        <scheme val="minor"/>
      </rPr>
      <t>3</t>
    </r>
    <r>
      <rPr>
        <sz val="11"/>
        <rFont val="Calibri"/>
        <family val="2"/>
        <scheme val="minor"/>
      </rPr>
      <t>H</t>
    </r>
    <r>
      <rPr>
        <vertAlign val="subscript"/>
        <sz val="11"/>
        <rFont val="Calibri"/>
        <family val="2"/>
        <scheme val="minor"/>
      </rPr>
      <t>8</t>
    </r>
    <r>
      <rPr>
        <sz val="11"/>
        <rFont val="Calibri"/>
        <family val="2"/>
        <scheme val="minor"/>
      </rPr>
      <t>O</t>
    </r>
    <r>
      <rPr>
        <vertAlign val="subscript"/>
        <sz val="11"/>
        <rFont val="Calibri"/>
        <family val="2"/>
        <scheme val="minor"/>
      </rPr>
      <t>3</t>
    </r>
  </si>
  <si>
    <t>3 ATP + 3 H+_cyt + 4 NADPH + sulfate_ext + 0.22 MRE ==&gt; 2 ADP + AMP + H2O + 4 NADP + 2 phosphate + diphosphate + S2H</t>
  </si>
  <si>
    <t>T9</t>
  </si>
  <si>
    <t>T9in</t>
  </si>
  <si>
    <t>T10</t>
  </si>
  <si>
    <t>phosphate_ext + H+_pmf + 0.22 MRE ==&gt; H+_cyt + phosphate</t>
  </si>
  <si>
    <t>T11</t>
  </si>
  <si>
    <r>
      <t>C</t>
    </r>
    <r>
      <rPr>
        <vertAlign val="sub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H</t>
    </r>
    <r>
      <rPr>
        <vertAlign val="sub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O</t>
    </r>
    <r>
      <rPr>
        <vertAlign val="subscript"/>
        <sz val="11"/>
        <color theme="1"/>
        <rFont val="Calibri"/>
        <family val="2"/>
        <scheme val="minor"/>
      </rPr>
      <t>5</t>
    </r>
  </si>
  <si>
    <t>H+_ext + pyruvate_ext + 0.27 MRE + 3 Cmol + 10 Emol + Mol ==&gt; H+_cyt + pyruvate</t>
  </si>
  <si>
    <t>T12</t>
  </si>
  <si>
    <t>ATP + H+_pmf + D-mannose_ext + 0.267 MRE + 6 Cmol + 24 Emol + Mol ==&gt; ADP + D-fructose-6-phosphate + 2 H+_cyt</t>
  </si>
  <si>
    <t>T13</t>
  </si>
  <si>
    <t xml:space="preserve"> </t>
  </si>
  <si>
    <t>ATP + H+_pmf + D-xylose_ext + 0.09 MRE + 5 Cmol + 20 Emol + Mol ==&gt; ADP + 2 H+_cyt + D-xylulose_5-phosphate</t>
  </si>
  <si>
    <t>T14</t>
  </si>
  <si>
    <t>T15</t>
  </si>
  <si>
    <t>2 H+_pmf + succinate_ext + 0.27 MRE + 4 Cmol + 14 Emol + Mol ==&gt; 2 H+_cyt + succinate</t>
  </si>
  <si>
    <t>T16</t>
  </si>
  <si>
    <r>
      <t>C</t>
    </r>
    <r>
      <rPr>
        <vertAlign val="sub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H</t>
    </r>
    <r>
      <rPr>
        <vertAlign val="subscript"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>O</t>
    </r>
    <r>
      <rPr>
        <vertAlign val="subscript"/>
        <sz val="11"/>
        <color theme="1"/>
        <rFont val="Calibri"/>
        <family val="2"/>
        <scheme val="minor"/>
      </rPr>
      <t>6</t>
    </r>
  </si>
  <si>
    <t>2 H+_pmf + oxaloacetate_ext + 0.27 MRE + 4 Cmol + 10 Emol + Mol ==&gt; 2 H+_cyt + oxaloacetate</t>
  </si>
  <si>
    <t>T17</t>
  </si>
  <si>
    <t>ATP + 2 H2O + D-maltose_ext + 0.267 MRE + 12 Cmol + 48 Emol + Mol ==&gt; ADP + 2 D-glucose + H+_cyt + phosphate</t>
  </si>
  <si>
    <t>T18</t>
  </si>
  <si>
    <t>none</t>
  </si>
  <si>
    <t>H+_pmf + 0.27 MRE + 2-oxoglutarate_ext + 5 Cmol + 16 Emol + Mol ==&gt; 2-oxoglutarate + H+_cyt</t>
  </si>
  <si>
    <t>T19</t>
  </si>
  <si>
    <t>phosphoenolpyruvate + 0.267 MRE + D-fructose_ext + 6 Cmol + 24 Emol + Mol ==&gt; D-fructose-6-phosphate + pyruvate</t>
  </si>
  <si>
    <t>T20</t>
  </si>
  <si>
    <t>2 H+_pmf + 0.27 MRE + fumarate_ext + 4 Cmol + 12 Emol + Mol ==&gt; fumarate + 2 H+_cyt</t>
  </si>
  <si>
    <t>T21</t>
  </si>
  <si>
    <t>2 ATP + H2O + 30 MRE + D-ribose_ext + 5 Cmol + 20 Emol + Mol ==&gt; 2 ADP + 2 H+_cyt + phosphate + D-ribose_5-phosphate</t>
  </si>
  <si>
    <t>T22</t>
  </si>
  <si>
    <t>2 H+_pmf + 0.27 MRE + malate_ext + 4 Cmol + 12 Emol + Mol ==&gt; 2 H+_cyt + malate</t>
  </si>
  <si>
    <t>T23</t>
  </si>
  <si>
    <t>NAD + phosphoenolpyruvate + 0.267 MRE + D-mannitol_ext + 6 Cmol + 26 Emol + Mol ==&gt; D-fructose-6-phosphate + H+_cyt + NADH + pyruvate</t>
  </si>
  <si>
    <t>T24</t>
  </si>
  <si>
    <t>Biomass formula</t>
  </si>
  <si>
    <t>NAD + phosphoenolpyruvate + 0.267 MRE + D-sorbitol_ext + 6 Cmol + 26 Emol + Mol ==&gt; D-fructose-6-phosphate + H+_cyt + NADH + pyruvate</t>
  </si>
  <si>
    <t>T25</t>
  </si>
  <si>
    <t>T26</t>
  </si>
  <si>
    <t>T27</t>
  </si>
  <si>
    <t>T28</t>
  </si>
  <si>
    <t>MW</t>
  </si>
  <si>
    <t>g/Cmol</t>
  </si>
  <si>
    <t>total</t>
  </si>
  <si>
    <r>
      <t>C</t>
    </r>
    <r>
      <rPr>
        <vertAlign val="subscript"/>
        <sz val="11"/>
        <rFont val="Calibri"/>
        <family val="2"/>
        <scheme val="minor"/>
      </rPr>
      <t>5</t>
    </r>
    <r>
      <rPr>
        <sz val="11"/>
        <rFont val="Calibri"/>
        <family val="2"/>
        <scheme val="minor"/>
      </rPr>
      <t>H</t>
    </r>
    <r>
      <rPr>
        <vertAlign val="subscript"/>
        <sz val="11"/>
        <rFont val="Calibri"/>
        <family val="2"/>
        <scheme val="minor"/>
      </rPr>
      <t>16</t>
    </r>
    <r>
      <rPr>
        <sz val="11"/>
        <rFont val="Calibri"/>
        <family val="2"/>
        <scheme val="minor"/>
      </rPr>
      <t>N</t>
    </r>
    <r>
      <rPr>
        <vertAlign val="subscript"/>
        <sz val="11"/>
        <rFont val="Calibri"/>
        <family val="2"/>
        <scheme val="minor"/>
      </rPr>
      <t>4</t>
    </r>
  </si>
  <si>
    <r>
      <t>C</t>
    </r>
    <r>
      <rPr>
        <vertAlign val="subscript"/>
        <sz val="11"/>
        <rFont val="Calibri"/>
        <family val="2"/>
        <scheme val="minor"/>
      </rPr>
      <t>3</t>
    </r>
    <r>
      <rPr>
        <sz val="11"/>
        <rFont val="Calibri"/>
        <family val="2"/>
        <scheme val="minor"/>
      </rPr>
      <t>H</t>
    </r>
    <r>
      <rPr>
        <vertAlign val="subscript"/>
        <sz val="11"/>
        <rFont val="Calibri"/>
        <family val="2"/>
        <scheme val="minor"/>
      </rPr>
      <t>5</t>
    </r>
    <r>
      <rPr>
        <sz val="11"/>
        <rFont val="Calibri"/>
        <family val="2"/>
        <scheme val="minor"/>
      </rPr>
      <t>O</t>
    </r>
    <r>
      <rPr>
        <vertAlign val="subscript"/>
        <sz val="11"/>
        <rFont val="Calibri"/>
        <family val="2"/>
        <scheme val="minor"/>
      </rPr>
      <t>2</t>
    </r>
  </si>
  <si>
    <r>
      <t>C</t>
    </r>
    <r>
      <rPr>
        <vertAlign val="subscript"/>
        <sz val="11"/>
        <rFont val="Calibri"/>
        <family val="2"/>
        <scheme val="minor"/>
      </rPr>
      <t>3</t>
    </r>
    <r>
      <rPr>
        <sz val="11"/>
        <rFont val="Calibri"/>
        <family val="2"/>
        <scheme val="minor"/>
      </rPr>
      <t>H</t>
    </r>
    <r>
      <rPr>
        <vertAlign val="subscript"/>
        <sz val="11"/>
        <rFont val="Calibri"/>
        <family val="2"/>
        <scheme val="minor"/>
      </rPr>
      <t>7</t>
    </r>
    <r>
      <rPr>
        <sz val="11"/>
        <rFont val="Calibri"/>
        <family val="2"/>
        <scheme val="minor"/>
      </rPr>
      <t>O</t>
    </r>
    <r>
      <rPr>
        <vertAlign val="subscript"/>
        <sz val="11"/>
        <rFont val="Calibri"/>
        <family val="2"/>
        <scheme val="minor"/>
      </rPr>
      <t>6</t>
    </r>
    <r>
      <rPr>
        <sz val="11"/>
        <rFont val="Calibri"/>
        <family val="2"/>
        <scheme val="minor"/>
      </rPr>
      <t>P</t>
    </r>
  </si>
  <si>
    <r>
      <t>Si</t>
    </r>
    <r>
      <rPr>
        <vertAlign val="subscript"/>
        <sz val="10"/>
        <rFont val="Trebuchet MS"/>
        <family val="2"/>
      </rPr>
      <t>47</t>
    </r>
    <r>
      <rPr>
        <sz val="10"/>
        <rFont val="Trebuchet MS"/>
        <family val="2"/>
      </rPr>
      <t>Fe</t>
    </r>
    <r>
      <rPr>
        <vertAlign val="subscript"/>
        <sz val="10"/>
        <rFont val="Trebuchet MS"/>
        <family val="2"/>
      </rPr>
      <t>2</t>
    </r>
    <r>
      <rPr>
        <sz val="10"/>
        <rFont val="Trebuchet MS"/>
        <family val="2"/>
      </rPr>
      <t>Ca</t>
    </r>
    <r>
      <rPr>
        <vertAlign val="subscript"/>
        <sz val="10"/>
        <rFont val="Trebuchet MS"/>
        <family val="2"/>
      </rPr>
      <t>5</t>
    </r>
    <r>
      <rPr>
        <sz val="10"/>
        <rFont val="Trebuchet MS"/>
        <family val="2"/>
      </rPr>
      <t>Cl</t>
    </r>
    <r>
      <rPr>
        <vertAlign val="subscript"/>
        <sz val="10"/>
        <rFont val="Trebuchet MS"/>
        <family val="2"/>
      </rPr>
      <t>35</t>
    </r>
    <r>
      <rPr>
        <sz val="10"/>
        <rFont val="Trebuchet MS"/>
        <family val="2"/>
      </rPr>
      <t>Mg</t>
    </r>
    <r>
      <rPr>
        <vertAlign val="subscript"/>
        <sz val="10"/>
        <rFont val="Trebuchet MS"/>
        <family val="2"/>
      </rPr>
      <t>7</t>
    </r>
    <r>
      <rPr>
        <sz val="10"/>
        <rFont val="Trebuchet MS"/>
        <family val="2"/>
      </rPr>
      <t>K</t>
    </r>
    <r>
      <rPr>
        <vertAlign val="subscript"/>
        <sz val="10"/>
        <rFont val="Trebuchet MS"/>
        <family val="2"/>
      </rPr>
      <t>5</t>
    </r>
    <r>
      <rPr>
        <sz val="10"/>
        <rFont val="Trebuchet MS"/>
        <family val="2"/>
      </rPr>
      <t>Zn</t>
    </r>
  </si>
  <si>
    <r>
      <t>C</t>
    </r>
    <r>
      <rPr>
        <vertAlign val="subscript"/>
        <sz val="11"/>
        <rFont val="Trebuchet MS"/>
        <family val="2"/>
      </rPr>
      <t>6</t>
    </r>
    <r>
      <rPr>
        <sz val="10"/>
        <rFont val="Trebuchet MS"/>
        <family val="2"/>
      </rPr>
      <t>H</t>
    </r>
    <r>
      <rPr>
        <vertAlign val="subscript"/>
        <sz val="11"/>
        <rFont val="Trebuchet MS"/>
        <family val="2"/>
      </rPr>
      <t>10</t>
    </r>
    <r>
      <rPr>
        <sz val="10"/>
        <rFont val="Trebuchet MS"/>
        <family val="2"/>
      </rPr>
      <t>N</t>
    </r>
    <r>
      <rPr>
        <vertAlign val="subscript"/>
        <sz val="11"/>
        <rFont val="Trebuchet MS"/>
        <family val="2"/>
      </rPr>
      <t>2</t>
    </r>
    <r>
      <rPr>
        <sz val="10"/>
        <rFont val="Trebuchet MS"/>
        <family val="2"/>
      </rPr>
      <t>O</t>
    </r>
    <r>
      <rPr>
        <vertAlign val="subscript"/>
        <sz val="11"/>
        <rFont val="Trebuchet MS"/>
        <family val="2"/>
      </rPr>
      <t>2</t>
    </r>
  </si>
  <si>
    <r>
      <t>C</t>
    </r>
    <r>
      <rPr>
        <vertAlign val="subscript"/>
        <sz val="11"/>
        <rFont val="Trebuchet MS"/>
        <family val="2"/>
      </rPr>
      <t>6</t>
    </r>
    <r>
      <rPr>
        <sz val="10"/>
        <rFont val="Trebuchet MS"/>
        <family val="2"/>
      </rPr>
      <t>H</t>
    </r>
    <r>
      <rPr>
        <vertAlign val="subscript"/>
        <sz val="10"/>
        <rFont val="Trebuchet MS"/>
        <family val="2"/>
      </rPr>
      <t>10</t>
    </r>
    <r>
      <rPr>
        <sz val="10"/>
        <rFont val="Trebuchet MS"/>
        <family val="2"/>
      </rPr>
      <t>O</t>
    </r>
    <r>
      <rPr>
        <vertAlign val="subscript"/>
        <sz val="10"/>
        <rFont val="Trebuchet MS"/>
        <family val="2"/>
      </rPr>
      <t>3</t>
    </r>
    <r>
      <rPr>
        <sz val="10"/>
        <rFont val="Trebuchet MS"/>
        <family val="2"/>
      </rPr>
      <t>N</t>
    </r>
    <r>
      <rPr>
        <vertAlign val="subscript"/>
        <sz val="10"/>
        <rFont val="Trebuchet MS"/>
        <family val="2"/>
      </rPr>
      <t>2</t>
    </r>
  </si>
  <si>
    <r>
      <t> C</t>
    </r>
    <r>
      <rPr>
        <vertAlign val="subscript"/>
        <sz val="11"/>
        <rFont val="Trebuchet MS"/>
        <family val="2"/>
      </rPr>
      <t>3</t>
    </r>
    <r>
      <rPr>
        <sz val="10"/>
        <rFont val="Trebuchet MS"/>
        <family val="2"/>
      </rPr>
      <t>H</t>
    </r>
    <r>
      <rPr>
        <vertAlign val="subscript"/>
        <sz val="11"/>
        <rFont val="Trebuchet MS"/>
        <family val="2"/>
      </rPr>
      <t>8</t>
    </r>
    <r>
      <rPr>
        <sz val="10"/>
        <rFont val="Trebuchet MS"/>
        <family val="2"/>
      </rPr>
      <t>O</t>
    </r>
    <r>
      <rPr>
        <vertAlign val="subscript"/>
        <sz val="11"/>
        <rFont val="Trebuchet MS"/>
        <family val="2"/>
      </rPr>
      <t>3</t>
    </r>
  </si>
  <si>
    <r>
      <t>C</t>
    </r>
    <r>
      <rPr>
        <vertAlign val="subscript"/>
        <sz val="10"/>
        <rFont val="Trebuchet MS"/>
        <family val="2"/>
      </rPr>
      <t>5</t>
    </r>
    <r>
      <rPr>
        <sz val="10"/>
        <rFont val="Trebuchet MS"/>
        <family val="2"/>
      </rPr>
      <t>H</t>
    </r>
    <r>
      <rPr>
        <vertAlign val="subscript"/>
        <sz val="10"/>
        <rFont val="Trebuchet MS"/>
        <family val="2"/>
      </rPr>
      <t>9</t>
    </r>
    <r>
      <rPr>
        <sz val="10"/>
        <rFont val="Trebuchet MS"/>
        <family val="2"/>
      </rPr>
      <t>NO</t>
    </r>
    <r>
      <rPr>
        <vertAlign val="subscript"/>
        <sz val="10"/>
        <rFont val="Trebuchet MS"/>
        <family val="2"/>
      </rPr>
      <t>2</t>
    </r>
  </si>
  <si>
    <t>Reaction</t>
  </si>
  <si>
    <t>DNA</t>
  </si>
  <si>
    <t>2 PtsG</t>
  </si>
  <si>
    <t>1 PtsH</t>
  </si>
  <si>
    <t>2 PtsI</t>
  </si>
  <si>
    <t>1 Crr</t>
  </si>
  <si>
    <t>2 MglA</t>
  </si>
  <si>
    <t>1 MglB</t>
  </si>
  <si>
    <t>2 MglC</t>
  </si>
  <si>
    <t>G6</t>
  </si>
  <si>
    <t>1 Glk</t>
  </si>
  <si>
    <t>2 Pgi</t>
  </si>
  <si>
    <t>4 PfkA</t>
  </si>
  <si>
    <t>4 Fbp</t>
  </si>
  <si>
    <t>2 FbaA</t>
  </si>
  <si>
    <t>2 TpiA</t>
  </si>
  <si>
    <t>4 GapA</t>
  </si>
  <si>
    <t>1 Pgk</t>
  </si>
  <si>
    <t>2 GpmA</t>
  </si>
  <si>
    <t xml:space="preserve">PPP3 </t>
  </si>
  <si>
    <t>2 Eno</t>
  </si>
  <si>
    <t xml:space="preserve">PPP4 </t>
  </si>
  <si>
    <t>4 PykF</t>
  </si>
  <si>
    <t>1 Zwf</t>
  </si>
  <si>
    <t>1 Pgl</t>
  </si>
  <si>
    <t>2 Gnd</t>
  </si>
  <si>
    <t>1 Edd</t>
  </si>
  <si>
    <t>3 Eda</t>
  </si>
  <si>
    <t>1 Rpe</t>
  </si>
  <si>
    <t>2 RpiA</t>
  </si>
  <si>
    <t>2 TktA</t>
  </si>
  <si>
    <t>2 TalB</t>
  </si>
  <si>
    <t>6 GltA</t>
  </si>
  <si>
    <t>2 AcnB</t>
  </si>
  <si>
    <t>2 IcdA</t>
  </si>
  <si>
    <t>12 SucA</t>
  </si>
  <si>
    <t>24 SucB</t>
  </si>
  <si>
    <t>2 LpdA</t>
  </si>
  <si>
    <t>2 SucC</t>
  </si>
  <si>
    <t>2 SucD</t>
  </si>
  <si>
    <t>3 SdhA</t>
  </si>
  <si>
    <t>3 SdhB</t>
  </si>
  <si>
    <t>3 SdhC</t>
  </si>
  <si>
    <t>3 SdhD</t>
  </si>
  <si>
    <t>1 FrdA</t>
  </si>
  <si>
    <t>1 FrdB</t>
  </si>
  <si>
    <t>1 FrdC</t>
  </si>
  <si>
    <t>1 FrdD</t>
  </si>
  <si>
    <t>4 FumC</t>
  </si>
  <si>
    <t>2 Mdh</t>
  </si>
  <si>
    <t>4 Ppc</t>
  </si>
  <si>
    <t>6 MaeB</t>
  </si>
  <si>
    <t>1 Pck A</t>
  </si>
  <si>
    <t>2 PflB</t>
  </si>
  <si>
    <t>24 AceE</t>
  </si>
  <si>
    <t>24 AceF</t>
  </si>
  <si>
    <t>12 LpdA</t>
  </si>
  <si>
    <t>1 LdhA</t>
  </si>
  <si>
    <t>1 Dld</t>
  </si>
  <si>
    <t>2 AdhE</t>
  </si>
  <si>
    <t>AA2a</t>
  </si>
  <si>
    <t>6 Pta</t>
  </si>
  <si>
    <t>1 AckA</t>
  </si>
  <si>
    <t>4 PoxB</t>
  </si>
  <si>
    <t>3 FdnG</t>
  </si>
  <si>
    <t>3 FdnH</t>
  </si>
  <si>
    <t>3 FdnI</t>
  </si>
  <si>
    <t>1 Acs</t>
  </si>
  <si>
    <t>1 NuoA</t>
  </si>
  <si>
    <t>T1(eto)</t>
  </si>
  <si>
    <t>1 NuoB</t>
  </si>
  <si>
    <t>T2(ace)</t>
  </si>
  <si>
    <t>1 NuoC</t>
  </si>
  <si>
    <t>T2in(ace)</t>
  </si>
  <si>
    <t>1 NuoE</t>
  </si>
  <si>
    <t>1 NuoF</t>
  </si>
  <si>
    <t>T4(lact)</t>
  </si>
  <si>
    <t>1 NuoG</t>
  </si>
  <si>
    <t>T4in(lact)</t>
  </si>
  <si>
    <t>1 NuoH</t>
  </si>
  <si>
    <t>T5(form)</t>
  </si>
  <si>
    <t>1 NuoI</t>
  </si>
  <si>
    <t>T6(CO2)</t>
  </si>
  <si>
    <t>1 NuoJ</t>
  </si>
  <si>
    <t>1 NuoK</t>
  </si>
  <si>
    <t>T7r(O2)</t>
  </si>
  <si>
    <t>1 NuoL</t>
  </si>
  <si>
    <t>1 NuoM</t>
  </si>
  <si>
    <t>1 NuoN</t>
  </si>
  <si>
    <t>1 Ndh</t>
  </si>
  <si>
    <t>1 CydA</t>
  </si>
  <si>
    <t>T11(pyr)</t>
  </si>
  <si>
    <t>1 CydB</t>
  </si>
  <si>
    <t>T12 (mans)</t>
  </si>
  <si>
    <t>1 CydX</t>
  </si>
  <si>
    <t>T13(xyl)</t>
  </si>
  <si>
    <t>1 CydH</t>
  </si>
  <si>
    <t>T14(glyc)</t>
  </si>
  <si>
    <t>1 AppB</t>
  </si>
  <si>
    <t>T15(succ)</t>
  </si>
  <si>
    <t>T16(oxal)</t>
  </si>
  <si>
    <t>1 CyoA</t>
  </si>
  <si>
    <t>T17(malt)</t>
  </si>
  <si>
    <t>1 CyoB</t>
  </si>
  <si>
    <t>T18(oxog)</t>
  </si>
  <si>
    <t>1 CyoC</t>
  </si>
  <si>
    <t>T19(fruct)</t>
  </si>
  <si>
    <t>1 CyoD</t>
  </si>
  <si>
    <t>T20(fum)</t>
  </si>
  <si>
    <t>3 AtpA</t>
  </si>
  <si>
    <t>T21(ribo)</t>
  </si>
  <si>
    <t>3 AtpD</t>
  </si>
  <si>
    <t>T22(mal)</t>
  </si>
  <si>
    <t>1 AtpG</t>
  </si>
  <si>
    <t>T23(manl)</t>
  </si>
  <si>
    <t>1 AtpC</t>
  </si>
  <si>
    <t>T24(sorb)</t>
  </si>
  <si>
    <t>1 AtpH</t>
  </si>
  <si>
    <t>T25(MRE)</t>
  </si>
  <si>
    <t>10 AtpE</t>
  </si>
  <si>
    <t>T26(Emol)</t>
  </si>
  <si>
    <t>1 AtpB</t>
  </si>
  <si>
    <t>T27(Cmol)</t>
  </si>
  <si>
    <t>2 AtpF</t>
  </si>
  <si>
    <t>T28(Mol)</t>
  </si>
  <si>
    <t>8 SthA</t>
  </si>
  <si>
    <t>2 PntA</t>
  </si>
  <si>
    <t>2 PntB</t>
  </si>
  <si>
    <t>4 AceA</t>
  </si>
  <si>
    <t>1 AceB</t>
  </si>
  <si>
    <t>12 GlnA</t>
  </si>
  <si>
    <t>4 GltB</t>
  </si>
  <si>
    <t>4 GltD</t>
  </si>
  <si>
    <t>6 GdhA</t>
  </si>
  <si>
    <t>none, implicit processes</t>
  </si>
  <si>
    <t>1 Adk</t>
  </si>
  <si>
    <t>6 ppa</t>
  </si>
  <si>
    <t>aggregate reaction</t>
  </si>
  <si>
    <t>2 ActP</t>
  </si>
  <si>
    <t>3 AmtB</t>
  </si>
  <si>
    <t>1 LldP</t>
  </si>
  <si>
    <t>1 LldP/none</t>
  </si>
  <si>
    <t>5 FocA</t>
  </si>
  <si>
    <t>aquaporin</t>
  </si>
  <si>
    <t>diffusion, none</t>
  </si>
  <si>
    <t>1 Sbp</t>
  </si>
  <si>
    <t>2 CysA</t>
  </si>
  <si>
    <t>1 CysU</t>
  </si>
  <si>
    <t>1 CysW</t>
  </si>
  <si>
    <t>1 CysD</t>
  </si>
  <si>
    <t>1 CysN</t>
  </si>
  <si>
    <t>2 CysC</t>
  </si>
  <si>
    <t>2 CysH</t>
  </si>
  <si>
    <t>8 CysJ</t>
  </si>
  <si>
    <t>4 CysI</t>
  </si>
  <si>
    <t>1 PitA</t>
  </si>
  <si>
    <t>1 BtsT</t>
  </si>
  <si>
    <t>ManA</t>
  </si>
  <si>
    <t>1 XylE</t>
  </si>
  <si>
    <t>2 XylB</t>
  </si>
  <si>
    <t>2 XylA</t>
  </si>
  <si>
    <t>4 GlpF</t>
  </si>
  <si>
    <t>2 GlpD</t>
  </si>
  <si>
    <t>1 DcuS</t>
  </si>
  <si>
    <t>1 DctA</t>
  </si>
  <si>
    <t>1 MalG</t>
  </si>
  <si>
    <t>2 MalK</t>
  </si>
  <si>
    <t>1 MalE</t>
  </si>
  <si>
    <t>1 MalF</t>
  </si>
  <si>
    <t>1 MalZ</t>
  </si>
  <si>
    <t>1 KgtP</t>
  </si>
  <si>
    <t>assumed same as glucose</t>
  </si>
  <si>
    <t>1 RbsA</t>
  </si>
  <si>
    <t>1 RbsB</t>
  </si>
  <si>
    <t>2 RbsC</t>
  </si>
  <si>
    <t>2 RbsK</t>
  </si>
  <si>
    <t>assumed same as succinate</t>
  </si>
  <si>
    <t>1 MtlD</t>
  </si>
  <si>
    <t>4 SrlD</t>
  </si>
  <si>
    <t>none, theoretical construct</t>
  </si>
  <si>
    <t>*** recent literature suggests this stoichiometry is like R3 with a higher affinity, turned off in simulations</t>
  </si>
  <si>
    <t>MG1655</t>
  </si>
  <si>
    <t>MRE parameters</t>
  </si>
  <si>
    <t>SA:V</t>
  </si>
  <si>
    <t>-1.384*mu +6.763</t>
  </si>
  <si>
    <t>theta</t>
  </si>
  <si>
    <t>growth</t>
  </si>
  <si>
    <t>constant</t>
  </si>
  <si>
    <t>2 ActP/in</t>
  </si>
  <si>
    <t>E. coli model input file</t>
  </si>
  <si>
    <t>Reaction mapping to protein(s) with subunit composition</t>
  </si>
  <si>
    <t>Investments required per enzyme complex</t>
  </si>
  <si>
    <t>1 AppC</t>
  </si>
  <si>
    <t>NCM3722</t>
  </si>
  <si>
    <t>-2.644*mu + 9.298</t>
  </si>
  <si>
    <t xml:space="preserve">see </t>
  </si>
  <si>
    <t>MATLAB</t>
  </si>
  <si>
    <t>file</t>
  </si>
  <si>
    <t>fMSA</t>
  </si>
  <si>
    <t>tab:</t>
  </si>
  <si>
    <r>
      <rPr>
        <b/>
        <sz val="11"/>
        <color theme="1"/>
        <rFont val="Calibri"/>
        <family val="2"/>
        <scheme val="minor"/>
      </rPr>
      <t>model</t>
    </r>
    <r>
      <rPr>
        <sz val="11"/>
        <color theme="1"/>
        <rFont val="Calibri"/>
        <family val="2"/>
        <scheme val="minor"/>
      </rPr>
      <t>: in silico model for E. coli K 12 with gene, protein, and nutrient mapping</t>
    </r>
  </si>
  <si>
    <r>
      <rPr>
        <b/>
        <sz val="11"/>
        <color theme="1"/>
        <rFont val="Calibri"/>
        <family val="2"/>
        <scheme val="minor"/>
      </rPr>
      <t>model balance</t>
    </r>
    <r>
      <rPr>
        <sz val="11"/>
        <color theme="1"/>
        <rFont val="Calibri"/>
        <family val="2"/>
        <scheme val="minor"/>
      </rPr>
      <t>: demonstration of elemental and electron balanced reactions</t>
    </r>
  </si>
  <si>
    <r>
      <rPr>
        <b/>
        <sz val="11"/>
        <color theme="1"/>
        <rFont val="Calibri"/>
        <family val="2"/>
        <scheme val="minor"/>
      </rPr>
      <t>MRE_parameters</t>
    </r>
    <r>
      <rPr>
        <sz val="11"/>
        <color theme="1"/>
        <rFont val="Calibri"/>
        <family val="2"/>
        <scheme val="minor"/>
      </rPr>
      <t>: calculations for the growth and nongrowth associated MRE parameters for E. coli MG1655 and NCM3722</t>
    </r>
  </si>
  <si>
    <t xml:space="preserve"> x MRE costs, MRE values were applied during simulations, see Supplementary Data S4</t>
  </si>
  <si>
    <t>C atoms</t>
  </si>
  <si>
    <t>S atoms</t>
  </si>
  <si>
    <t>N atoms</t>
  </si>
  <si>
    <t>Amino Acids</t>
  </si>
  <si>
    <t>Fe atoms</t>
  </si>
  <si>
    <t xml:space="preserve">or </t>
  </si>
  <si>
    <t>Data S4</t>
  </si>
  <si>
    <r>
      <t>1.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Department of Chemical and Biological Engineering, Center for Biofilm Engineering, Montana State University, Bozeman, MT USA</t>
    </r>
  </si>
  <si>
    <r>
      <t>in silico</t>
    </r>
    <r>
      <rPr>
        <sz val="11"/>
        <color theme="1"/>
        <rFont val="Calibri"/>
        <family val="2"/>
        <scheme val="minor"/>
      </rPr>
      <t xml:space="preserve">, stoichiometric model and associated data files used in the presented study to represent </t>
    </r>
    <r>
      <rPr>
        <i/>
        <sz val="11"/>
        <color theme="1"/>
        <rFont val="Calibri"/>
        <family val="2"/>
        <scheme val="minor"/>
      </rPr>
      <t>E. coli</t>
    </r>
    <r>
      <rPr>
        <sz val="11"/>
        <color theme="1"/>
        <rFont val="Calibri"/>
        <family val="2"/>
        <scheme val="minor"/>
      </rPr>
      <t xml:space="preserve"> strains MG1655 and NCM3722</t>
    </r>
  </si>
  <si>
    <t>verification of atom and electron balances for each model reaction</t>
  </si>
  <si>
    <t>calculation of the MRE parameters required to perform sMSAc-FBA accounting for growth rate dependent changes in SA:V ratios and different membrane protein capacities (fMSA)</t>
  </si>
  <si>
    <t>Supporting Information for</t>
  </si>
  <si>
    <r>
      <t>*</t>
    </r>
    <r>
      <rPr>
        <sz val="11"/>
        <color theme="1"/>
        <rFont val="Calibri"/>
        <family val="2"/>
        <scheme val="minor"/>
      </rPr>
      <t>corresponding author: R.P.C., Email: rossc@montana.edu</t>
    </r>
  </si>
  <si>
    <t>electron mole tracking reaction, not used in presented study</t>
  </si>
  <si>
    <t>carbon mole tracking reaction, not used in presented study</t>
  </si>
  <si>
    <t>total mole tracking reaction, not used in presented study</t>
  </si>
  <si>
    <t>see Box 1 in main text for definitions</t>
  </si>
  <si>
    <t>23.245;</t>
  </si>
  <si>
    <t>NCM</t>
  </si>
  <si>
    <t>MG</t>
  </si>
  <si>
    <t>MG1650</t>
  </si>
  <si>
    <t>NCM3721</t>
  </si>
  <si>
    <r>
      <t>f</t>
    </r>
    <r>
      <rPr>
        <b/>
        <vertAlign val="subscript"/>
        <sz val="11"/>
        <rFont val="Calibri"/>
        <family val="2"/>
        <scheme val="minor"/>
      </rPr>
      <t>MSA</t>
    </r>
  </si>
  <si>
    <t>0.688;</t>
  </si>
  <si>
    <t>1.377;</t>
  </si>
  <si>
    <t>2.065;</t>
  </si>
  <si>
    <t>2.754;</t>
  </si>
  <si>
    <t>3.442;</t>
  </si>
  <si>
    <t>4.131;</t>
  </si>
  <si>
    <t>4.819;</t>
  </si>
  <si>
    <t>5.5083;</t>
  </si>
  <si>
    <t>6.1968;</t>
  </si>
  <si>
    <t>6.885;</t>
  </si>
  <si>
    <t>7.5739;</t>
  </si>
  <si>
    <t>8.262;</t>
  </si>
  <si>
    <t>8.951;</t>
  </si>
  <si>
    <t>9.639;</t>
  </si>
  <si>
    <t>10.328;</t>
  </si>
  <si>
    <t>11.0166;</t>
  </si>
  <si>
    <t>11.705;</t>
  </si>
  <si>
    <t>12.393;</t>
  </si>
  <si>
    <t>13.0822;</t>
  </si>
  <si>
    <t>13.7708;</t>
  </si>
  <si>
    <t>48.4291;</t>
  </si>
  <si>
    <t>46.007;</t>
  </si>
  <si>
    <t>43.586;</t>
  </si>
  <si>
    <t>41.164;</t>
  </si>
  <si>
    <t>38.743;</t>
  </si>
  <si>
    <t>36.321;</t>
  </si>
  <si>
    <t>33.900;</t>
  </si>
  <si>
    <t>31.478;</t>
  </si>
  <si>
    <t>29.057;</t>
  </si>
  <si>
    <t>26.636;</t>
  </si>
  <si>
    <t>24.214;</t>
  </si>
  <si>
    <t>21.793;</t>
  </si>
  <si>
    <t>19.371;</t>
  </si>
  <si>
    <t>16.950;</t>
  </si>
  <si>
    <t>14.528;</t>
  </si>
  <si>
    <t>12.107;</t>
  </si>
  <si>
    <t>9.6858;</t>
  </si>
  <si>
    <t>7.264;</t>
  </si>
  <si>
    <t>4.842;</t>
  </si>
  <si>
    <t>2.4214;</t>
  </si>
  <si>
    <t>1.452;</t>
  </si>
  <si>
    <t>2.905;</t>
  </si>
  <si>
    <t>4.358;</t>
  </si>
  <si>
    <t>5.811;</t>
  </si>
  <si>
    <t>8.716;</t>
  </si>
  <si>
    <t>10.169;</t>
  </si>
  <si>
    <t>11.622;</t>
  </si>
  <si>
    <t>13.0753;</t>
  </si>
  <si>
    <t>15.980;</t>
  </si>
  <si>
    <t>17.433;</t>
  </si>
  <si>
    <t>18.886;</t>
  </si>
  <si>
    <t>20.339;</t>
  </si>
  <si>
    <t>21.792;</t>
  </si>
  <si>
    <t>24.697;</t>
  </si>
  <si>
    <t>26.150;</t>
  </si>
  <si>
    <t>27.603;</t>
  </si>
  <si>
    <t>29.056;</t>
  </si>
  <si>
    <t>0.413;</t>
  </si>
  <si>
    <t>0.826;</t>
  </si>
  <si>
    <t>1.239;</t>
  </si>
  <si>
    <t>1.652;</t>
  </si>
  <si>
    <t>2.478;</t>
  </si>
  <si>
    <t>2.891;</t>
  </si>
  <si>
    <t>3.305;</t>
  </si>
  <si>
    <t>3.718;</t>
  </si>
  <si>
    <t>4.544;</t>
  </si>
  <si>
    <t>4.957;</t>
  </si>
  <si>
    <t>5.783;</t>
  </si>
  <si>
    <t>6.196;</t>
  </si>
  <si>
    <t>7.436;</t>
  </si>
  <si>
    <t>7.849;</t>
  </si>
  <si>
    <t>5.370;</t>
  </si>
  <si>
    <t>6.61;</t>
  </si>
  <si>
    <t>7.0231;</t>
  </si>
  <si>
    <t>0.605;</t>
  </si>
  <si>
    <t>1.211;</t>
  </si>
  <si>
    <t>1.817;</t>
  </si>
  <si>
    <t>2.423;</t>
  </si>
  <si>
    <t>3.029;</t>
  </si>
  <si>
    <t>3.635;</t>
  </si>
  <si>
    <t>4.241;</t>
  </si>
  <si>
    <t>4.847;</t>
  </si>
  <si>
    <t>5.453;</t>
  </si>
  <si>
    <t>6.059;</t>
  </si>
  <si>
    <t>6.665;</t>
  </si>
  <si>
    <t>7.271;</t>
  </si>
  <si>
    <t>7.876;</t>
  </si>
  <si>
    <t>8.482;</t>
  </si>
  <si>
    <t>9.694;</t>
  </si>
  <si>
    <t>9.088;</t>
  </si>
  <si>
    <t>10.300;</t>
  </si>
  <si>
    <t>10.906;</t>
  </si>
  <si>
    <t>11.512;</t>
  </si>
  <si>
    <t>12.118;</t>
  </si>
  <si>
    <t>42.616;</t>
  </si>
  <si>
    <t>40.485;</t>
  </si>
  <si>
    <t>38.355;</t>
  </si>
  <si>
    <t>36.224;</t>
  </si>
  <si>
    <t>34.093;</t>
  </si>
  <si>
    <t>31.962;</t>
  </si>
  <si>
    <t>29.831;</t>
  </si>
  <si>
    <t>27.700;</t>
  </si>
  <si>
    <t>25.57;</t>
  </si>
  <si>
    <t>23.439;</t>
  </si>
  <si>
    <t>21.308;</t>
  </si>
  <si>
    <t>19.177;</t>
  </si>
  <si>
    <t>17.046;</t>
  </si>
  <si>
    <t>14.915;</t>
  </si>
  <si>
    <t>12.785;</t>
  </si>
  <si>
    <t>10.654;</t>
  </si>
  <si>
    <t>8.523;</t>
  </si>
  <si>
    <t>6.392;</t>
  </si>
  <si>
    <t>4.261;</t>
  </si>
  <si>
    <t>2.130;</t>
  </si>
  <si>
    <t>1.743;</t>
  </si>
  <si>
    <t>3.486;</t>
  </si>
  <si>
    <t>5.230;</t>
  </si>
  <si>
    <t>6.973;</t>
  </si>
  <si>
    <t>10.460;</t>
  </si>
  <si>
    <t>12.203;</t>
  </si>
  <si>
    <t>13.947;</t>
  </si>
  <si>
    <t>15.690;</t>
  </si>
  <si>
    <t>20.920;</t>
  </si>
  <si>
    <t>22.663;</t>
  </si>
  <si>
    <t>24.407;</t>
  </si>
  <si>
    <t>27.894;</t>
  </si>
  <si>
    <t>29.637;</t>
  </si>
  <si>
    <t>31.380;</t>
  </si>
  <si>
    <t>33.124;</t>
  </si>
  <si>
    <t>34.867;</t>
  </si>
  <si>
    <t>0.495;</t>
  </si>
  <si>
    <t>0.991;</t>
  </si>
  <si>
    <t>1.487;</t>
  </si>
  <si>
    <t>1.983;</t>
  </si>
  <si>
    <t>2.974;</t>
  </si>
  <si>
    <t>3.470;</t>
  </si>
  <si>
    <t>3.966;</t>
  </si>
  <si>
    <t>4.461;</t>
  </si>
  <si>
    <t>5.949;</t>
  </si>
  <si>
    <t>6.444;</t>
  </si>
  <si>
    <t>6.940;</t>
  </si>
  <si>
    <t>7.932;</t>
  </si>
  <si>
    <t>8.427;</t>
  </si>
  <si>
    <t>9.419;</t>
  </si>
  <si>
    <t>9.915;</t>
  </si>
  <si>
    <t>8.923;</t>
  </si>
  <si>
    <t>theta =</t>
  </si>
  <si>
    <r>
      <rPr>
        <b/>
        <sz val="11"/>
        <color theme="1"/>
        <rFont val="Calibri"/>
        <family val="2"/>
        <scheme val="minor"/>
      </rPr>
      <t>File location:</t>
    </r>
    <r>
      <rPr>
        <sz val="11"/>
        <color theme="1"/>
        <rFont val="Calibri"/>
        <family val="2"/>
        <scheme val="minor"/>
      </rPr>
      <t xml:space="preserve"> github.com/rosspcarlson/carlson2025_sMSAcFBA.git. </t>
    </r>
  </si>
  <si>
    <t>Base</t>
  </si>
  <si>
    <t>Perturbed SA:V</t>
  </si>
  <si>
    <t>mu (h-1)</t>
  </si>
  <si>
    <r>
      <t>5.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Department of Biological and Environmental Sciences, Carroll College, Helena, MT USA</t>
    </r>
  </si>
  <si>
    <r>
      <t>2.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Department of Mathematical Sciences, Montana State University, Bozeman, MT USA</t>
    </r>
  </si>
  <si>
    <t>3.     Department of Chemical Engineering and Applied Chemistry, University of Toronto, Canada</t>
  </si>
  <si>
    <r>
      <t>4.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Department of Ecology, Evolution, and Behavior, University of Minnesota, St. Paul, MN USA</t>
    </r>
  </si>
  <si>
    <t>Reaction 52:  R7 :</t>
  </si>
  <si>
    <t>Reaction 53:  R8 :</t>
  </si>
  <si>
    <t>Reaction 54:  GS1r :</t>
  </si>
  <si>
    <t>Reaction 55:  GS2 :</t>
  </si>
  <si>
    <t>Reaction 56:  AA1 :</t>
  </si>
  <si>
    <t>Reaction 57:  AA2 :</t>
  </si>
  <si>
    <t>Reaction 58:  AA3r :</t>
  </si>
  <si>
    <t>Reaction 59:  ATPm :</t>
  </si>
  <si>
    <t>Reaction 60:  ADK :</t>
  </si>
  <si>
    <t>Reaction 61:  PYRO :</t>
  </si>
  <si>
    <t>Reaction 62:  PH :</t>
  </si>
  <si>
    <t>Reaction 63:  Phin :</t>
  </si>
  <si>
    <t>Reaction 64:  BIOM :</t>
  </si>
  <si>
    <t>Reaction 65:  T1 :</t>
  </si>
  <si>
    <t>Reaction 66:  T2 :</t>
  </si>
  <si>
    <t>Reaction 67:  T2cost :</t>
  </si>
  <si>
    <t>acetate + H+_pmf ==&gt; acetate_ext + H+_ext</t>
  </si>
  <si>
    <t>Reaction 68:  T2in :</t>
  </si>
  <si>
    <t>acetate_ext + H+_ext + H+_pmf + 0.154 MRE + 2 Cmol + 8 Emol + Mol ==&gt; acetate + 2 H+_cyt</t>
  </si>
  <si>
    <t>Reaction 69:  T3 :</t>
  </si>
  <si>
    <t>ammonia_ext + H+_pmf + 0.25 MRE ==&gt; H+_cyt + ammonia</t>
  </si>
  <si>
    <t>Reaction 70:  T4 :</t>
  </si>
  <si>
    <t>Reaction 71:  T4cost :</t>
  </si>
  <si>
    <t>lactate + H+_pmf ==&gt; H+_ext + lactate_ext</t>
  </si>
  <si>
    <t>Reaction 72:  T4in :</t>
  </si>
  <si>
    <t>H+_ext + lactate_ext + H+_pmf + 0.154 MRE + 3 Cmol + 12 Emol + Mol ==&gt; 2 H+_cyt + lactate</t>
  </si>
  <si>
    <t>Reaction 73:  T5 :</t>
  </si>
  <si>
    <t>formate + H+_cyt + 0.27 MRE ==&gt; formate_ext + H+_ext</t>
  </si>
  <si>
    <t>Reaction 74:  T5cost :</t>
  </si>
  <si>
    <t>formate + H+_pmf + 0.27 MRE ==&gt; formate_ext + H+_ext</t>
  </si>
  <si>
    <t>Reaction 75:  T6 :</t>
  </si>
  <si>
    <t>Reaction 76:  T6in :</t>
  </si>
  <si>
    <t>Reaction 77:  T7r :</t>
  </si>
  <si>
    <t>Reaction 78:  T8 :</t>
  </si>
  <si>
    <t>Reaction 79:  T9 :</t>
  </si>
  <si>
    <t>Reaction 80:  T9in :</t>
  </si>
  <si>
    <t>Reaction 81:  T10 :</t>
  </si>
  <si>
    <t>Reaction 82:  T11 :</t>
  </si>
  <si>
    <t>pyruvate + 0.27 MRE + 3 Cmol + 10 Emol + Mol ==&gt; pyruvate_ext</t>
  </si>
  <si>
    <t>Reaction 83:  T11cost :</t>
  </si>
  <si>
    <t>H+_pmf + pyruvate + 0.27 MRE + 3 Cmol + 10 Emol + Mol ==&gt; H+_cyt + pyruvate_ext</t>
  </si>
  <si>
    <t>Reaction 84:  T11in :</t>
  </si>
  <si>
    <t>Reaction 85:  T12 :</t>
  </si>
  <si>
    <t>2 H+_cyt + succinate  + 4 Cmol + 14 Emol + Mol ==&gt; 2 H+_ext + succinate_ext</t>
  </si>
  <si>
    <t>Reaction 86:  T12cost :</t>
  </si>
  <si>
    <t>2 H+_pmf + succinate + 0.27 MRE + 4 Cmol + 14 Emol + Mol ==&gt; 2 H+_ext + succinate_ext</t>
  </si>
  <si>
    <t>Reaction 87:  T12in :</t>
  </si>
  <si>
    <t>Reaction 88:  T25 :</t>
  </si>
  <si>
    <t>Reaction 89:  T26 :</t>
  </si>
  <si>
    <t>Reaction 90:  T27 :</t>
  </si>
  <si>
    <t>Reaction 91:  T28 :</t>
  </si>
  <si>
    <t>Reaction 51:  R6r :</t>
  </si>
  <si>
    <t>Reaction 50:  R6 :</t>
  </si>
  <si>
    <t>ADP + phosphate + 4 H+_pmf + 0.13 MRE ==&gt; ATP + H2O + 3 H+_cyt</t>
  </si>
  <si>
    <t>ADP + phosphate + 4 H+_pmf + 0.13 MRE &lt;== ATP + H2O + 3 H+_cyt</t>
  </si>
  <si>
    <r>
      <t>* NCM3722 at</t>
    </r>
    <r>
      <rPr>
        <sz val="11"/>
        <color theme="1"/>
        <rFont val="Symbol"/>
        <family val="1"/>
        <charset val="2"/>
      </rPr>
      <t xml:space="preserve"> m</t>
    </r>
    <r>
      <rPr>
        <sz val="11"/>
        <color theme="1"/>
        <rFont val="Calibri"/>
        <family val="2"/>
        <scheme val="minor"/>
      </rPr>
      <t xml:space="preserve"> = 0.99 h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 xml:space="preserve"> has approximately 2.4x10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 xml:space="preserve"> nm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(g cdw)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>, Si et al 2017</t>
    </r>
  </si>
  <si>
    <r>
      <t>* MG1655 at</t>
    </r>
    <r>
      <rPr>
        <sz val="11"/>
        <color theme="1"/>
        <rFont val="Symbol"/>
        <family val="1"/>
        <charset val="2"/>
      </rPr>
      <t xml:space="preserve"> m</t>
    </r>
    <r>
      <rPr>
        <sz val="11"/>
        <color theme="1"/>
        <rFont val="Calibri"/>
        <family val="2"/>
        <scheme val="minor"/>
      </rPr>
      <t xml:space="preserve"> = 0.69 h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 xml:space="preserve"> has approximately 2.1x10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 xml:space="preserve"> nm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(g cdw)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>, Si et al 2017</t>
    </r>
  </si>
  <si>
    <t>*note: derivation of parameters normalized the magnitude of the alpha and beta parameters</t>
  </si>
  <si>
    <r>
      <t>Ross P. Carlson</t>
    </r>
    <r>
      <rPr>
        <vertAlign val="superscript"/>
        <sz val="11"/>
        <color theme="1"/>
        <rFont val="Calibri"/>
        <family val="2"/>
        <scheme val="minor"/>
      </rPr>
      <t>1*</t>
    </r>
    <r>
      <rPr>
        <sz val="11"/>
        <color theme="1"/>
        <rFont val="Calibri"/>
        <family val="2"/>
        <scheme val="minor"/>
      </rPr>
      <t>, Tomáš Gedeon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, Mauricio Garcia Benitez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Campbell Putnam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William R. Harcombe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, Radhakrishnan Mahadevan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 Ashley E. Beck</t>
    </r>
    <r>
      <rPr>
        <vertAlign val="superscript"/>
        <sz val="11"/>
        <color theme="1"/>
        <rFont val="Calibri"/>
        <family val="2"/>
        <scheme val="minor"/>
      </rPr>
      <t>5</t>
    </r>
  </si>
  <si>
    <t>Supplementary Data S4</t>
  </si>
  <si>
    <t>Cell Geometry and Membrane Protein Crowding Constrain Escherichia coli Growth Rate, Overflow Metabolism, Respiration, and Maintenance Energy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</si>
</sst>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2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Trebuchet MS"/>
      <family val="2"/>
    </font>
    <font>
      <vertAlign val="subscript"/>
      <sz val="11"/>
      <name val="Trebuchet MS"/>
      <family val="2"/>
    </font>
    <font>
      <vertAlign val="subscript"/>
      <sz val="10"/>
      <name val="Trebuchet MS"/>
      <family val="2"/>
    </font>
    <font>
      <vertAlign val="subscript"/>
      <sz val="11"/>
      <name val="Calibri"/>
      <family val="2"/>
    </font>
    <font>
      <vertAlign val="subscript"/>
      <sz val="1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b/>
      <sz val="18"/>
      <name val="Trebuchet MS"/>
      <family val="2"/>
    </font>
    <font>
      <sz val="11"/>
      <name val="Calibri"/>
      <family val="2"/>
    </font>
    <font>
      <sz val="12"/>
      <color theme="1"/>
      <name val="Calibri"/>
      <family val="2"/>
      <scheme val="minor"/>
    </font>
    <font>
      <sz val="7"/>
      <color theme="1"/>
      <name val="Times New Roman"/>
      <family val="1"/>
    </font>
    <font>
      <i/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i/>
      <sz val="14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vertAlign val="subscript"/>
      <sz val="11"/>
      <name val="Calibri"/>
      <family val="2"/>
      <scheme val="minor"/>
    </font>
    <font>
      <sz val="14"/>
      <color theme="1"/>
      <name val="Aptos Display"/>
      <family val="2"/>
    </font>
    <font>
      <sz val="11"/>
      <color theme="1"/>
      <name val="Symbol"/>
      <family val="1"/>
      <charset val="2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D1D1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4" fillId="0" borderId="0"/>
    <xf numFmtId="0" fontId="16" fillId="0" borderId="0"/>
  </cellStyleXfs>
  <cellXfs count="64">
    <xf numFmtId="0" fontId="0" fillId="0" borderId="0" xfId="0"/>
    <xf numFmtId="0" fontId="3" fillId="0" borderId="0" xfId="0" applyFont="1"/>
    <xf numFmtId="0" fontId="5" fillId="0" borderId="0" xfId="1" applyFont="1" applyAlignment="1">
      <alignment horizontal="center"/>
    </xf>
    <xf numFmtId="0" fontId="4" fillId="0" borderId="0" xfId="1" applyAlignment="1">
      <alignment horizontal="center"/>
    </xf>
    <xf numFmtId="2" fontId="4" fillId="0" borderId="0" xfId="1" applyNumberFormat="1" applyAlignment="1">
      <alignment horizontal="center"/>
    </xf>
    <xf numFmtId="0" fontId="3" fillId="0" borderId="0" xfId="0" applyFont="1" applyAlignment="1">
      <alignment horizontal="center"/>
    </xf>
    <xf numFmtId="164" fontId="5" fillId="0" borderId="0" xfId="1" applyNumberFormat="1" applyFont="1" applyAlignment="1">
      <alignment horizontal="center"/>
    </xf>
    <xf numFmtId="164" fontId="4" fillId="0" borderId="0" xfId="1" applyNumberFormat="1" applyAlignment="1">
      <alignment horizontal="center"/>
    </xf>
    <xf numFmtId="164" fontId="3" fillId="0" borderId="0" xfId="0" applyNumberFormat="1" applyFont="1" applyAlignment="1">
      <alignment horizontal="center"/>
    </xf>
    <xf numFmtId="0" fontId="6" fillId="0" borderId="0" xfId="1" applyFont="1" applyAlignment="1">
      <alignment horizontal="center"/>
    </xf>
    <xf numFmtId="2" fontId="5" fillId="0" borderId="0" xfId="1" applyNumberFormat="1" applyFont="1" applyAlignment="1">
      <alignment horizontal="center"/>
    </xf>
    <xf numFmtId="0" fontId="7" fillId="0" borderId="0" xfId="0" applyFont="1" applyAlignment="1">
      <alignment horizontal="center"/>
    </xf>
    <xf numFmtId="2" fontId="3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8" fillId="0" borderId="0" xfId="0" applyFont="1"/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4" fillId="0" borderId="0" xfId="0" applyFont="1"/>
    <xf numFmtId="0" fontId="3" fillId="0" borderId="0" xfId="1" applyFont="1" applyAlignment="1">
      <alignment horizontal="center"/>
    </xf>
    <xf numFmtId="0" fontId="7" fillId="0" borderId="0" xfId="1" applyFont="1" applyAlignment="1">
      <alignment horizontal="center"/>
    </xf>
    <xf numFmtId="2" fontId="3" fillId="0" borderId="0" xfId="0" applyNumberFormat="1" applyFont="1"/>
    <xf numFmtId="0" fontId="0" fillId="2" borderId="0" xfId="0" applyFill="1"/>
    <xf numFmtId="0" fontId="0" fillId="3" borderId="0" xfId="0" applyFill="1"/>
    <xf numFmtId="0" fontId="0" fillId="3" borderId="0" xfId="0" applyFill="1" applyAlignment="1">
      <alignment horizontal="center"/>
    </xf>
    <xf numFmtId="0" fontId="3" fillId="2" borderId="0" xfId="0" applyFont="1" applyFill="1"/>
    <xf numFmtId="0" fontId="3" fillId="3" borderId="0" xfId="0" applyFont="1" applyFill="1"/>
    <xf numFmtId="165" fontId="0" fillId="3" borderId="0" xfId="0" applyNumberFormat="1" applyFill="1" applyAlignment="1">
      <alignment horizontal="center"/>
    </xf>
    <xf numFmtId="165" fontId="3" fillId="3" borderId="0" xfId="0" applyNumberFormat="1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1" fillId="2" borderId="0" xfId="0" applyFont="1" applyFill="1"/>
    <xf numFmtId="0" fontId="2" fillId="0" borderId="0" xfId="0" applyFont="1"/>
    <xf numFmtId="0" fontId="2" fillId="2" borderId="0" xfId="0" applyFont="1" applyFill="1"/>
    <xf numFmtId="0" fontId="15" fillId="0" borderId="0" xfId="0" applyFont="1"/>
    <xf numFmtId="0" fontId="2" fillId="3" borderId="0" xfId="0" applyFont="1" applyFill="1"/>
    <xf numFmtId="0" fontId="0" fillId="0" borderId="0" xfId="0" applyAlignment="1">
      <alignment vertical="center"/>
    </xf>
    <xf numFmtId="0" fontId="0" fillId="0" borderId="0" xfId="0" applyAlignment="1">
      <alignment horizontal="left" vertical="center" indent="5"/>
    </xf>
    <xf numFmtId="0" fontId="18" fillId="0" borderId="0" xfId="0" applyFont="1" applyAlignment="1">
      <alignment vertical="center"/>
    </xf>
    <xf numFmtId="0" fontId="7" fillId="0" borderId="0" xfId="0" applyFont="1"/>
    <xf numFmtId="0" fontId="19" fillId="0" borderId="0" xfId="0" applyFont="1"/>
    <xf numFmtId="0" fontId="20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0" fillId="4" borderId="0" xfId="0" applyFill="1"/>
    <xf numFmtId="9" fontId="0" fillId="0" borderId="0" xfId="0" applyNumberFormat="1"/>
    <xf numFmtId="0" fontId="2" fillId="0" borderId="0" xfId="0" quotePrefix="1" applyFont="1"/>
    <xf numFmtId="0" fontId="0" fillId="0" borderId="0" xfId="0" quotePrefix="1"/>
    <xf numFmtId="0" fontId="24" fillId="0" borderId="0" xfId="0" applyFont="1"/>
    <xf numFmtId="0" fontId="1" fillId="0" borderId="0" xfId="0" applyFont="1"/>
    <xf numFmtId="0" fontId="1" fillId="0" borderId="0" xfId="0" applyFont="1" applyAlignment="1">
      <alignment vertical="center"/>
    </xf>
    <xf numFmtId="0" fontId="2" fillId="5" borderId="0" xfId="0" applyFont="1" applyFill="1"/>
    <xf numFmtId="0" fontId="2" fillId="5" borderId="0" xfId="0" quotePrefix="1" applyFont="1" applyFill="1"/>
    <xf numFmtId="0" fontId="0" fillId="5" borderId="0" xfId="0" applyFill="1"/>
    <xf numFmtId="0" fontId="0" fillId="5" borderId="0" xfId="0" quotePrefix="1" applyFill="1"/>
    <xf numFmtId="0" fontId="7" fillId="5" borderId="0" xfId="0" applyFont="1" applyFill="1"/>
    <xf numFmtId="0" fontId="3" fillId="5" borderId="0" xfId="0" applyFont="1" applyFill="1"/>
    <xf numFmtId="0" fontId="15" fillId="5" borderId="0" xfId="0" applyFont="1" applyFill="1"/>
    <xf numFmtId="0" fontId="2" fillId="6" borderId="0" xfId="0" applyFont="1" applyFill="1"/>
    <xf numFmtId="0" fontId="2" fillId="6" borderId="0" xfId="0" quotePrefix="1" applyFont="1" applyFill="1"/>
    <xf numFmtId="0" fontId="0" fillId="6" borderId="0" xfId="0" applyFill="1"/>
    <xf numFmtId="0" fontId="0" fillId="6" borderId="0" xfId="0" quotePrefix="1" applyFill="1"/>
    <xf numFmtId="0" fontId="7" fillId="6" borderId="0" xfId="0" applyFont="1" applyFill="1"/>
    <xf numFmtId="0" fontId="3" fillId="6" borderId="0" xfId="0" applyFont="1" applyFill="1"/>
    <xf numFmtId="0" fontId="15" fillId="6" borderId="0" xfId="0" applyFont="1" applyFill="1"/>
    <xf numFmtId="9" fontId="0" fillId="5" borderId="0" xfId="0" applyNumberFormat="1" applyFill="1"/>
  </cellXfs>
  <cellStyles count="3">
    <cellStyle name="Normal" xfId="0" builtinId="0"/>
    <cellStyle name="Normal 2" xfId="1" xr:uid="{250274F9-6332-4E0C-BE0E-572F4395F12D}"/>
    <cellStyle name="Normal 8" xfId="2" xr:uid="{F84A31A9-C02C-473C-9131-01D27FBC71F5}"/>
  </cellStyles>
  <dxfs count="20"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D1D1"/>
      <color rgb="FFFFC1C1"/>
      <color rgb="FFFF65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MRE_parameters!$L$22:$L$32</c:f>
              <c:numCache>
                <c:formatCode>General</c:formatCode>
                <c:ptCount val="11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</c:numCache>
            </c:numRef>
          </c:xVal>
          <c:yVal>
            <c:numRef>
              <c:f>MRE_parameters!$M$22:$M$32</c:f>
              <c:numCache>
                <c:formatCode>General</c:formatCode>
                <c:ptCount val="11"/>
                <c:pt idx="0">
                  <c:v>9.0335999999999999</c:v>
                </c:pt>
                <c:pt idx="1">
                  <c:v>8.7691999999999997</c:v>
                </c:pt>
                <c:pt idx="2">
                  <c:v>8.5047999999999995</c:v>
                </c:pt>
                <c:pt idx="3">
                  <c:v>8.2403999999999993</c:v>
                </c:pt>
                <c:pt idx="4">
                  <c:v>7.976</c:v>
                </c:pt>
                <c:pt idx="5">
                  <c:v>7.7115999999999998</c:v>
                </c:pt>
                <c:pt idx="6">
                  <c:v>7.4472000000000005</c:v>
                </c:pt>
                <c:pt idx="7">
                  <c:v>7.1828000000000003</c:v>
                </c:pt>
                <c:pt idx="8">
                  <c:v>6.9184000000000001</c:v>
                </c:pt>
                <c:pt idx="9">
                  <c:v>6.6539999999999999</c:v>
                </c:pt>
                <c:pt idx="10">
                  <c:v>6.3895999999999997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251-46DF-8B98-511996874207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MRE_parameters!$L$22:$L$32</c:f>
              <c:numCache>
                <c:formatCode>General</c:formatCode>
                <c:ptCount val="11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</c:numCache>
            </c:numRef>
          </c:xVal>
          <c:yVal>
            <c:numRef>
              <c:f>MRE_parameters!$O$22:$O$32</c:f>
              <c:numCache>
                <c:formatCode>General</c:formatCode>
                <c:ptCount val="11"/>
                <c:pt idx="0">
                  <c:v>13.5504</c:v>
                </c:pt>
                <c:pt idx="1">
                  <c:v>13.1538</c:v>
                </c:pt>
                <c:pt idx="2">
                  <c:v>12.757199999999999</c:v>
                </c:pt>
                <c:pt idx="3">
                  <c:v>12.360599999999998</c:v>
                </c:pt>
                <c:pt idx="4">
                  <c:v>11.964</c:v>
                </c:pt>
                <c:pt idx="5">
                  <c:v>11.567399999999999</c:v>
                </c:pt>
                <c:pt idx="6">
                  <c:v>11.1708</c:v>
                </c:pt>
                <c:pt idx="7">
                  <c:v>10.7742</c:v>
                </c:pt>
                <c:pt idx="8">
                  <c:v>10.377600000000001</c:v>
                </c:pt>
                <c:pt idx="9">
                  <c:v>9.9809999999999999</c:v>
                </c:pt>
                <c:pt idx="10">
                  <c:v>9.5843999999999987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251-46DF-8B98-511996874207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MRE_parameters!$L$22:$L$32</c:f>
              <c:numCache>
                <c:formatCode>General</c:formatCode>
                <c:ptCount val="11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</c:numCache>
            </c:numRef>
          </c:xVal>
          <c:yVal>
            <c:numRef>
              <c:f>MRE_parameters!$P$22:$P$32</c:f>
              <c:numCache>
                <c:formatCode>General</c:formatCode>
                <c:ptCount val="11"/>
                <c:pt idx="0">
                  <c:v>4.5167999999999999</c:v>
                </c:pt>
                <c:pt idx="1">
                  <c:v>4.3845999999999998</c:v>
                </c:pt>
                <c:pt idx="2">
                  <c:v>4.2523999999999997</c:v>
                </c:pt>
                <c:pt idx="3">
                  <c:v>4.1201999999999996</c:v>
                </c:pt>
                <c:pt idx="4">
                  <c:v>3.988</c:v>
                </c:pt>
                <c:pt idx="5">
                  <c:v>3.8557999999999999</c:v>
                </c:pt>
                <c:pt idx="6">
                  <c:v>3.7236000000000002</c:v>
                </c:pt>
                <c:pt idx="7">
                  <c:v>3.5914000000000001</c:v>
                </c:pt>
                <c:pt idx="8">
                  <c:v>3.4592000000000001</c:v>
                </c:pt>
                <c:pt idx="9">
                  <c:v>3.327</c:v>
                </c:pt>
                <c:pt idx="10">
                  <c:v>3.1947999999999999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251-46DF-8B98-511996874207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MRE_parameters!$L$22:$L$32</c:f>
              <c:numCache>
                <c:formatCode>General</c:formatCode>
                <c:ptCount val="11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</c:numCache>
            </c:numRef>
          </c:xVal>
          <c:yVal>
            <c:numRef>
              <c:f>MRE_parameters!$Q$22:$Q$32</c:f>
              <c:numCache>
                <c:formatCode>General</c:formatCode>
                <c:ptCount val="11"/>
                <c:pt idx="0">
                  <c:v>11.292</c:v>
                </c:pt>
                <c:pt idx="1">
                  <c:v>10.961499999999999</c:v>
                </c:pt>
                <c:pt idx="2">
                  <c:v>10.631</c:v>
                </c:pt>
                <c:pt idx="3">
                  <c:v>10.3005</c:v>
                </c:pt>
                <c:pt idx="4">
                  <c:v>9.9700000000000006</c:v>
                </c:pt>
                <c:pt idx="5">
                  <c:v>9.6395</c:v>
                </c:pt>
                <c:pt idx="6">
                  <c:v>9.3090000000000011</c:v>
                </c:pt>
                <c:pt idx="7">
                  <c:v>8.9785000000000004</c:v>
                </c:pt>
                <c:pt idx="8">
                  <c:v>8.6479999999999997</c:v>
                </c:pt>
                <c:pt idx="9">
                  <c:v>8.317499999999999</c:v>
                </c:pt>
                <c:pt idx="10">
                  <c:v>7.9870000000000001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202-465A-B023-2B3D46025D47}"/>
            </c:ext>
          </c:extLst>
        </c:ser>
        <c:ser>
          <c:idx val="4"/>
          <c:order val="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MRE_parameters!$L$22:$L$32</c:f>
              <c:numCache>
                <c:formatCode>General</c:formatCode>
                <c:ptCount val="11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</c:numCache>
            </c:numRef>
          </c:xVal>
          <c:yVal>
            <c:numRef>
              <c:f>MRE_parameters!$R$22:$R$32</c:f>
              <c:numCache>
                <c:formatCode>General</c:formatCode>
                <c:ptCount val="11"/>
                <c:pt idx="0">
                  <c:v>6.7751999999999999</c:v>
                </c:pt>
                <c:pt idx="1">
                  <c:v>6.5769000000000002</c:v>
                </c:pt>
                <c:pt idx="2">
                  <c:v>6.3785999999999996</c:v>
                </c:pt>
                <c:pt idx="3">
                  <c:v>6.180299999999999</c:v>
                </c:pt>
                <c:pt idx="4">
                  <c:v>5.9820000000000002</c:v>
                </c:pt>
                <c:pt idx="5">
                  <c:v>5.7836999999999996</c:v>
                </c:pt>
                <c:pt idx="6">
                  <c:v>5.5853999999999999</c:v>
                </c:pt>
                <c:pt idx="7">
                  <c:v>5.3871000000000002</c:v>
                </c:pt>
                <c:pt idx="8">
                  <c:v>5.1888000000000005</c:v>
                </c:pt>
                <c:pt idx="9">
                  <c:v>4.9904999999999999</c:v>
                </c:pt>
                <c:pt idx="10">
                  <c:v>4.7921999999999993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202-465A-B023-2B3D46025D47}"/>
            </c:ext>
          </c:extLst>
        </c:ser>
        <c:ser>
          <c:idx val="5"/>
          <c:order val="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MRE_parameters!$L$22:$L$32</c:f>
              <c:numCache>
                <c:formatCode>General</c:formatCode>
                <c:ptCount val="11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</c:numCache>
            </c:numRef>
          </c:xVal>
          <c:yVal>
            <c:numRef>
              <c:f>MRE_parameters!$S$22:$S$32</c:f>
              <c:numCache>
                <c:formatCode>General</c:formatCode>
                <c:ptCount val="11"/>
                <c:pt idx="0">
                  <c:v>9.9369600000000009</c:v>
                </c:pt>
                <c:pt idx="1">
                  <c:v>9.6461199999999998</c:v>
                </c:pt>
                <c:pt idx="2">
                  <c:v>9.3552800000000005</c:v>
                </c:pt>
                <c:pt idx="3">
                  <c:v>9.0644399999999994</c:v>
                </c:pt>
                <c:pt idx="4">
                  <c:v>8.7736000000000001</c:v>
                </c:pt>
                <c:pt idx="5">
                  <c:v>8.4827600000000007</c:v>
                </c:pt>
                <c:pt idx="6">
                  <c:v>8.1919200000000014</c:v>
                </c:pt>
                <c:pt idx="7">
                  <c:v>7.9010800000000012</c:v>
                </c:pt>
                <c:pt idx="8">
                  <c:v>7.610240000000001</c:v>
                </c:pt>
                <c:pt idx="9">
                  <c:v>7.3194000000000008</c:v>
                </c:pt>
                <c:pt idx="10">
                  <c:v>7.0285600000000006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1DB-46D3-9ED7-504571F937F1}"/>
            </c:ext>
          </c:extLst>
        </c:ser>
        <c:ser>
          <c:idx val="6"/>
          <c:order val="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MRE_parameters!$L$22:$L$32</c:f>
              <c:numCache>
                <c:formatCode>General</c:formatCode>
                <c:ptCount val="11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</c:numCache>
            </c:numRef>
          </c:xVal>
          <c:yVal>
            <c:numRef>
              <c:f>MRE_parameters!$T$22:$T$32</c:f>
              <c:numCache>
                <c:formatCode>General</c:formatCode>
                <c:ptCount val="11"/>
                <c:pt idx="0">
                  <c:v>8.1302400000000006</c:v>
                </c:pt>
                <c:pt idx="1">
                  <c:v>7.8922799999999995</c:v>
                </c:pt>
                <c:pt idx="2">
                  <c:v>7.6543199999999993</c:v>
                </c:pt>
                <c:pt idx="3">
                  <c:v>7.4163599999999992</c:v>
                </c:pt>
                <c:pt idx="4">
                  <c:v>7.1783999999999999</c:v>
                </c:pt>
                <c:pt idx="5">
                  <c:v>6.9404399999999997</c:v>
                </c:pt>
                <c:pt idx="6">
                  <c:v>6.7024800000000004</c:v>
                </c:pt>
                <c:pt idx="7">
                  <c:v>6.4645200000000003</c:v>
                </c:pt>
                <c:pt idx="8">
                  <c:v>6.2265600000000001</c:v>
                </c:pt>
                <c:pt idx="9">
                  <c:v>5.9885999999999999</c:v>
                </c:pt>
                <c:pt idx="10">
                  <c:v>5.7506399999999998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1DB-46D3-9ED7-504571F937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3334080"/>
        <c:axId val="733354240"/>
      </c:scatterChart>
      <c:valAx>
        <c:axId val="7333340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  <a:ea typeface="+mn-ea"/>
                    <a:cs typeface="+mn-cs"/>
                  </a:defRPr>
                </a:pPr>
                <a:r>
                  <a:rPr lang="en-US"/>
                  <a:t>specific growth rate</a:t>
                </a:r>
                <a:r>
                  <a:rPr lang="en-US" baseline="0"/>
                  <a:t> (h</a:t>
                </a:r>
                <a:r>
                  <a:rPr lang="en-US" baseline="30000"/>
                  <a:t>-1</a:t>
                </a:r>
                <a:r>
                  <a:rPr lang="en-US" baseline="0"/>
                  <a:t>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Aptos Display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733354240"/>
        <c:crosses val="autoZero"/>
        <c:crossBetween val="midCat"/>
      </c:valAx>
      <c:valAx>
        <c:axId val="733354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  <a:ea typeface="+mn-ea"/>
                    <a:cs typeface="+mn-cs"/>
                  </a:defRPr>
                </a:pPr>
                <a:r>
                  <a:rPr lang="en-US"/>
                  <a:t>SA:V</a:t>
                </a:r>
              </a:p>
            </c:rich>
          </c:tx>
          <c:layout>
            <c:manualLayout>
              <c:xMode val="edge"/>
              <c:yMode val="edge"/>
              <c:x val="3.0555555555555555E-2"/>
              <c:y val="0.3896219743365411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Aptos Display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7333340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Aptos Display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9525</xdr:colOff>
      <xdr:row>17</xdr:row>
      <xdr:rowOff>14286</xdr:rowOff>
    </xdr:from>
    <xdr:to>
      <xdr:col>29</xdr:col>
      <xdr:colOff>409575</xdr:colOff>
      <xdr:row>36</xdr:row>
      <xdr:rowOff>171449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CAB51C-ECB2-C454-AB14-2B1B1048E3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14DFE-0E8A-42DB-B6B4-17E299591F7D}">
  <dimension ref="A4:G21"/>
  <sheetViews>
    <sheetView tabSelected="1" workbookViewId="0"/>
  </sheetViews>
  <sheetFormatPr defaultRowHeight="15" x14ac:dyDescent="0.25"/>
  <sheetData>
    <row r="4" spans="1:7" ht="18" x14ac:dyDescent="0.25">
      <c r="A4" s="39" t="s">
        <v>688</v>
      </c>
    </row>
    <row r="5" spans="1:7" ht="18" x14ac:dyDescent="0.25">
      <c r="A5" s="39"/>
    </row>
    <row r="6" spans="1:7" ht="18.75" x14ac:dyDescent="0.25">
      <c r="B6" s="40" t="s">
        <v>915</v>
      </c>
    </row>
    <row r="7" spans="1:7" ht="17.25" x14ac:dyDescent="0.25">
      <c r="B7" s="35" t="s">
        <v>913</v>
      </c>
      <c r="C7" s="47"/>
      <c r="D7" s="47"/>
      <c r="E7" s="47"/>
      <c r="F7" s="47"/>
      <c r="G7" s="47"/>
    </row>
    <row r="8" spans="1:7" x14ac:dyDescent="0.25">
      <c r="B8" s="35" t="s">
        <v>432</v>
      </c>
      <c r="C8" s="47"/>
      <c r="D8" s="47"/>
      <c r="E8" s="47"/>
      <c r="F8" s="47"/>
      <c r="G8" s="47"/>
    </row>
    <row r="9" spans="1:7" x14ac:dyDescent="0.25">
      <c r="B9" s="36" t="s">
        <v>684</v>
      </c>
      <c r="C9" s="47"/>
      <c r="D9" s="47"/>
      <c r="E9" s="47"/>
      <c r="F9" s="47"/>
      <c r="G9" s="47"/>
    </row>
    <row r="10" spans="1:7" s="35" customFormat="1" ht="18.75" customHeight="1" x14ac:dyDescent="0.25">
      <c r="B10" s="36" t="s">
        <v>852</v>
      </c>
      <c r="C10" s="47"/>
      <c r="D10" s="48"/>
      <c r="E10" s="48"/>
      <c r="F10" s="48"/>
      <c r="G10" s="48"/>
    </row>
    <row r="11" spans="1:7" x14ac:dyDescent="0.25">
      <c r="B11" s="36" t="s">
        <v>853</v>
      </c>
      <c r="C11" s="47"/>
      <c r="D11" s="47"/>
      <c r="E11" s="47"/>
      <c r="F11" s="47"/>
      <c r="G11" s="47"/>
    </row>
    <row r="12" spans="1:7" x14ac:dyDescent="0.25">
      <c r="B12" s="36" t="s">
        <v>854</v>
      </c>
      <c r="C12" s="47"/>
      <c r="D12" s="47"/>
      <c r="E12" s="47"/>
      <c r="F12" s="47"/>
      <c r="G12" s="47"/>
    </row>
    <row r="13" spans="1:7" x14ac:dyDescent="0.25">
      <c r="B13" s="36" t="s">
        <v>851</v>
      </c>
      <c r="C13" s="47"/>
      <c r="D13" s="47"/>
      <c r="E13" s="47"/>
      <c r="F13" s="47"/>
      <c r="G13" s="47"/>
    </row>
    <row r="14" spans="1:7" ht="17.25" x14ac:dyDescent="0.25">
      <c r="B14" s="41" t="s">
        <v>689</v>
      </c>
    </row>
    <row r="16" spans="1:7" x14ac:dyDescent="0.25">
      <c r="B16" s="31" t="s">
        <v>914</v>
      </c>
    </row>
    <row r="17" spans="2:3" x14ac:dyDescent="0.25">
      <c r="C17" s="37" t="s">
        <v>685</v>
      </c>
    </row>
    <row r="19" spans="2:3" x14ac:dyDescent="0.25">
      <c r="B19" t="s">
        <v>672</v>
      </c>
      <c r="C19" t="s">
        <v>673</v>
      </c>
    </row>
    <row r="20" spans="2:3" x14ac:dyDescent="0.25">
      <c r="B20" t="s">
        <v>672</v>
      </c>
      <c r="C20" t="s">
        <v>674</v>
      </c>
    </row>
    <row r="21" spans="2:3" x14ac:dyDescent="0.25">
      <c r="B21" t="s">
        <v>672</v>
      </c>
      <c r="C21" t="s">
        <v>675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EECE9-9F2A-47CD-B15A-48EDB291E82B}">
  <dimension ref="A1:AA184"/>
  <sheetViews>
    <sheetView workbookViewId="0"/>
  </sheetViews>
  <sheetFormatPr defaultRowHeight="15" x14ac:dyDescent="0.25"/>
  <cols>
    <col min="1" max="1" width="22.42578125" customWidth="1"/>
    <col min="6" max="6" width="17.85546875" customWidth="1"/>
    <col min="18" max="18" width="9.140625" style="17"/>
    <col min="24" max="24" width="11.140625" customWidth="1"/>
    <col min="27" max="27" width="9.140625" style="23"/>
  </cols>
  <sheetData>
    <row r="1" spans="1:27" s="31" customFormat="1" x14ac:dyDescent="0.25">
      <c r="A1" s="31" t="s">
        <v>662</v>
      </c>
      <c r="C1" s="35" t="s">
        <v>847</v>
      </c>
      <c r="K1" s="32" t="s">
        <v>663</v>
      </c>
      <c r="L1" s="32"/>
      <c r="M1" s="32"/>
      <c r="N1" s="32"/>
      <c r="O1" s="32"/>
      <c r="P1" s="32"/>
      <c r="R1" s="34" t="s">
        <v>664</v>
      </c>
      <c r="S1" s="34"/>
      <c r="T1" s="34"/>
      <c r="U1" s="34"/>
      <c r="V1" s="34"/>
      <c r="W1" s="34"/>
      <c r="X1" s="34"/>
      <c r="Y1" s="34"/>
      <c r="Z1" s="34"/>
      <c r="AA1" s="34"/>
    </row>
    <row r="2" spans="1:27" x14ac:dyDescent="0.25">
      <c r="K2" s="22"/>
      <c r="L2" s="22" t="s">
        <v>432</v>
      </c>
      <c r="M2" s="22" t="s">
        <v>432</v>
      </c>
      <c r="N2" s="22"/>
      <c r="O2" s="22"/>
      <c r="P2" s="22"/>
      <c r="R2" s="24"/>
      <c r="S2" s="23" t="s">
        <v>473</v>
      </c>
      <c r="T2" s="23"/>
      <c r="U2" s="24" t="s">
        <v>677</v>
      </c>
      <c r="V2" s="24" t="s">
        <v>678</v>
      </c>
      <c r="W2" s="24" t="s">
        <v>679</v>
      </c>
      <c r="X2" s="24" t="s">
        <v>680</v>
      </c>
      <c r="Y2" s="24" t="s">
        <v>474</v>
      </c>
      <c r="Z2" s="24" t="s">
        <v>681</v>
      </c>
      <c r="AA2" s="24" t="s">
        <v>246</v>
      </c>
    </row>
    <row r="3" spans="1:27" x14ac:dyDescent="0.25">
      <c r="A3">
        <v>220715</v>
      </c>
      <c r="B3" t="s">
        <v>676</v>
      </c>
      <c r="K3" s="22"/>
      <c r="L3" s="22"/>
      <c r="M3" s="22"/>
      <c r="N3" s="22"/>
      <c r="O3" s="22"/>
      <c r="P3" s="22"/>
      <c r="R3" s="24"/>
      <c r="S3" s="23"/>
      <c r="T3" s="23"/>
      <c r="U3" s="24"/>
      <c r="V3" s="24"/>
      <c r="W3" s="24"/>
      <c r="X3" s="24"/>
      <c r="Y3" s="24"/>
      <c r="Z3" s="24"/>
      <c r="AA3" s="24"/>
    </row>
    <row r="4" spans="1:27" x14ac:dyDescent="0.25">
      <c r="A4" t="s">
        <v>0</v>
      </c>
      <c r="B4" t="s">
        <v>264</v>
      </c>
      <c r="J4" t="s">
        <v>432</v>
      </c>
      <c r="K4" s="22">
        <v>1</v>
      </c>
      <c r="L4" s="22" t="s">
        <v>262</v>
      </c>
      <c r="M4" s="25" t="s">
        <v>475</v>
      </c>
      <c r="N4" s="22"/>
      <c r="O4" s="22"/>
      <c r="P4" s="22"/>
      <c r="R4" s="24">
        <v>1</v>
      </c>
      <c r="S4" s="23" t="s">
        <v>262</v>
      </c>
      <c r="T4" s="26"/>
      <c r="U4" s="24">
        <v>11523</v>
      </c>
      <c r="V4" s="24">
        <v>85</v>
      </c>
      <c r="W4" s="24">
        <v>2999</v>
      </c>
      <c r="X4" s="24">
        <v>2358</v>
      </c>
      <c r="Y4" s="24">
        <v>3918</v>
      </c>
      <c r="Z4" s="24">
        <v>0</v>
      </c>
      <c r="AA4" s="27" t="s">
        <v>668</v>
      </c>
    </row>
    <row r="5" spans="1:27" x14ac:dyDescent="0.25">
      <c r="A5" t="s">
        <v>1</v>
      </c>
      <c r="B5" t="s">
        <v>268</v>
      </c>
      <c r="J5" t="s">
        <v>432</v>
      </c>
      <c r="K5" s="22"/>
      <c r="L5" s="22"/>
      <c r="M5" s="25" t="s">
        <v>476</v>
      </c>
      <c r="N5" s="22"/>
      <c r="O5" s="22"/>
      <c r="P5" s="22"/>
      <c r="R5" s="24">
        <v>2</v>
      </c>
      <c r="S5" s="23" t="s">
        <v>266</v>
      </c>
      <c r="T5" s="26"/>
      <c r="U5" s="24">
        <v>9903</v>
      </c>
      <c r="V5" s="24">
        <v>84</v>
      </c>
      <c r="W5" s="24">
        <v>2598</v>
      </c>
      <c r="X5" s="24">
        <v>2016</v>
      </c>
      <c r="Y5" s="24">
        <v>3522</v>
      </c>
      <c r="Z5" s="24">
        <v>0</v>
      </c>
      <c r="AA5" s="24" t="s">
        <v>669</v>
      </c>
    </row>
    <row r="6" spans="1:27" x14ac:dyDescent="0.25">
      <c r="A6" t="s">
        <v>2</v>
      </c>
      <c r="B6" t="s">
        <v>3</v>
      </c>
      <c r="J6" t="s">
        <v>432</v>
      </c>
      <c r="K6" s="22"/>
      <c r="L6" s="22"/>
      <c r="M6" s="25" t="s">
        <v>477</v>
      </c>
      <c r="N6" s="22"/>
      <c r="O6" s="22"/>
      <c r="P6" s="22"/>
      <c r="R6" s="24">
        <v>3</v>
      </c>
      <c r="S6" s="23" t="s">
        <v>269</v>
      </c>
      <c r="T6" s="26"/>
      <c r="U6" s="24">
        <v>1566</v>
      </c>
      <c r="V6" s="24">
        <v>12</v>
      </c>
      <c r="W6" s="24">
        <v>423</v>
      </c>
      <c r="X6" s="24">
        <v>321</v>
      </c>
      <c r="Y6" s="24">
        <v>963</v>
      </c>
      <c r="Z6" s="24">
        <v>0</v>
      </c>
      <c r="AA6" s="24" t="s">
        <v>670</v>
      </c>
    </row>
    <row r="7" spans="1:27" x14ac:dyDescent="0.25">
      <c r="A7" t="s">
        <v>4</v>
      </c>
      <c r="B7" t="s">
        <v>5</v>
      </c>
      <c r="J7" t="s">
        <v>432</v>
      </c>
      <c r="K7" s="22"/>
      <c r="L7" s="22"/>
      <c r="M7" s="25" t="s">
        <v>478</v>
      </c>
      <c r="N7" s="22"/>
      <c r="O7" s="22"/>
      <c r="P7" s="22"/>
      <c r="R7" s="24">
        <v>4</v>
      </c>
      <c r="S7" s="23" t="s">
        <v>271</v>
      </c>
      <c r="T7" s="26"/>
      <c r="U7" s="24">
        <v>5550</v>
      </c>
      <c r="V7" s="24">
        <v>32</v>
      </c>
      <c r="W7" s="24">
        <v>1476</v>
      </c>
      <c r="X7" s="24">
        <v>1098</v>
      </c>
      <c r="Y7" s="24">
        <v>1650</v>
      </c>
      <c r="Z7" s="24">
        <v>0</v>
      </c>
      <c r="AA7" s="24" t="s">
        <v>682</v>
      </c>
    </row>
    <row r="8" spans="1:27" x14ac:dyDescent="0.25">
      <c r="A8" t="s">
        <v>6</v>
      </c>
      <c r="B8" t="s">
        <v>7</v>
      </c>
      <c r="J8" t="s">
        <v>432</v>
      </c>
      <c r="K8" s="22">
        <v>2</v>
      </c>
      <c r="L8" s="22" t="s">
        <v>266</v>
      </c>
      <c r="M8" s="25" t="s">
        <v>479</v>
      </c>
      <c r="N8" s="22"/>
      <c r="O8" s="22"/>
      <c r="P8" s="22"/>
      <c r="R8" s="24">
        <v>5</v>
      </c>
      <c r="S8" s="23" t="s">
        <v>274</v>
      </c>
      <c r="T8" s="26"/>
      <c r="U8" s="24">
        <v>6128</v>
      </c>
      <c r="V8" s="24">
        <v>72</v>
      </c>
      <c r="W8" s="24">
        <v>1712</v>
      </c>
      <c r="X8" s="24">
        <v>1280</v>
      </c>
      <c r="Y8" s="24">
        <v>960</v>
      </c>
      <c r="Z8" s="24">
        <v>0</v>
      </c>
      <c r="AA8" s="24" t="s">
        <v>683</v>
      </c>
    </row>
    <row r="9" spans="1:27" x14ac:dyDescent="0.25">
      <c r="A9" t="s">
        <v>8</v>
      </c>
      <c r="B9" t="s">
        <v>9</v>
      </c>
      <c r="J9" t="s">
        <v>432</v>
      </c>
      <c r="K9" s="22"/>
      <c r="L9" s="22"/>
      <c r="M9" s="25" t="s">
        <v>480</v>
      </c>
      <c r="N9" s="22"/>
      <c r="O9" s="22"/>
      <c r="P9" s="22"/>
      <c r="R9" s="24">
        <v>6</v>
      </c>
      <c r="S9" s="23" t="s">
        <v>276</v>
      </c>
      <c r="T9" s="26"/>
      <c r="U9" s="24">
        <v>6584</v>
      </c>
      <c r="V9" s="24">
        <v>48</v>
      </c>
      <c r="W9" s="24">
        <v>1760</v>
      </c>
      <c r="X9" s="24">
        <v>1328</v>
      </c>
      <c r="Y9" s="24">
        <v>996</v>
      </c>
      <c r="Z9" s="24">
        <v>0</v>
      </c>
      <c r="AA9" s="24"/>
    </row>
    <row r="10" spans="1:27" x14ac:dyDescent="0.25">
      <c r="A10" t="s">
        <v>10</v>
      </c>
      <c r="B10" t="s">
        <v>11</v>
      </c>
      <c r="J10" t="s">
        <v>432</v>
      </c>
      <c r="K10" s="22"/>
      <c r="L10" s="22"/>
      <c r="M10" s="25" t="s">
        <v>481</v>
      </c>
      <c r="N10" s="22"/>
      <c r="O10" s="22"/>
      <c r="P10" s="22"/>
      <c r="R10" s="24">
        <v>7</v>
      </c>
      <c r="S10" s="23" t="s">
        <v>482</v>
      </c>
      <c r="T10" s="26"/>
      <c r="U10" s="24">
        <v>3492</v>
      </c>
      <c r="V10" s="24">
        <v>24</v>
      </c>
      <c r="W10" s="24">
        <v>930</v>
      </c>
      <c r="X10" s="24">
        <v>718</v>
      </c>
      <c r="Y10" s="24">
        <v>1077</v>
      </c>
      <c r="Z10" s="24">
        <v>0</v>
      </c>
      <c r="AA10" s="24"/>
    </row>
    <row r="11" spans="1:27" x14ac:dyDescent="0.25">
      <c r="A11" t="s">
        <v>12</v>
      </c>
      <c r="B11" t="s">
        <v>13</v>
      </c>
      <c r="J11" t="s">
        <v>432</v>
      </c>
      <c r="K11" s="22">
        <v>3</v>
      </c>
      <c r="L11" s="22" t="s">
        <v>269</v>
      </c>
      <c r="M11" s="25" t="s">
        <v>483</v>
      </c>
      <c r="N11" s="22"/>
      <c r="O11" s="22"/>
      <c r="P11" s="22"/>
      <c r="R11" s="24">
        <v>8</v>
      </c>
      <c r="S11" s="23" t="s">
        <v>280</v>
      </c>
      <c r="T11" s="26"/>
      <c r="U11" s="24">
        <v>2374</v>
      </c>
      <c r="V11" s="24">
        <v>20</v>
      </c>
      <c r="W11" s="24">
        <v>666</v>
      </c>
      <c r="X11" s="24">
        <v>510</v>
      </c>
      <c r="Y11" s="24">
        <v>765</v>
      </c>
      <c r="Z11" s="24">
        <v>0</v>
      </c>
      <c r="AA11" s="24"/>
    </row>
    <row r="12" spans="1:27" x14ac:dyDescent="0.25">
      <c r="A12" t="s">
        <v>14</v>
      </c>
      <c r="B12" t="s">
        <v>15</v>
      </c>
      <c r="J12" t="s">
        <v>432</v>
      </c>
      <c r="K12" s="22">
        <v>4</v>
      </c>
      <c r="L12" s="22" t="s">
        <v>271</v>
      </c>
      <c r="M12" s="25" t="s">
        <v>484</v>
      </c>
      <c r="N12" s="22"/>
      <c r="O12" s="22"/>
      <c r="P12" s="22"/>
      <c r="R12" s="24">
        <v>9</v>
      </c>
      <c r="S12" s="23" t="s">
        <v>282</v>
      </c>
      <c r="T12" s="26"/>
      <c r="U12" s="24">
        <v>6272</v>
      </c>
      <c r="V12" s="24">
        <v>44</v>
      </c>
      <c r="W12" s="24">
        <v>1728</v>
      </c>
      <c r="X12" s="24">
        <v>1324</v>
      </c>
      <c r="Y12" s="24">
        <v>996</v>
      </c>
      <c r="Z12" s="24">
        <v>0</v>
      </c>
      <c r="AA12" s="24"/>
    </row>
    <row r="13" spans="1:27" x14ac:dyDescent="0.25">
      <c r="A13" t="s">
        <v>16</v>
      </c>
      <c r="B13" t="s">
        <v>17</v>
      </c>
      <c r="J13" t="s">
        <v>432</v>
      </c>
      <c r="K13" s="22">
        <v>5</v>
      </c>
      <c r="L13" s="22" t="s">
        <v>274</v>
      </c>
      <c r="M13" s="25" t="s">
        <v>485</v>
      </c>
      <c r="N13" s="22"/>
      <c r="O13" s="22"/>
      <c r="P13" s="22"/>
      <c r="R13" s="24">
        <v>10</v>
      </c>
      <c r="S13" s="23" t="s">
        <v>284</v>
      </c>
      <c r="T13" s="26"/>
      <c r="U13" s="24">
        <v>1833</v>
      </c>
      <c r="V13" s="24">
        <v>9</v>
      </c>
      <c r="W13" s="24">
        <v>485</v>
      </c>
      <c r="X13" s="24">
        <v>387</v>
      </c>
      <c r="Y13" s="24">
        <v>1164</v>
      </c>
      <c r="Z13" s="24">
        <v>0</v>
      </c>
      <c r="AA13" s="24"/>
    </row>
    <row r="14" spans="1:27" x14ac:dyDescent="0.25">
      <c r="A14" t="s">
        <v>18</v>
      </c>
      <c r="B14" t="s">
        <v>19</v>
      </c>
      <c r="J14" t="s">
        <v>432</v>
      </c>
      <c r="K14" s="22">
        <v>6</v>
      </c>
      <c r="L14" s="22" t="s">
        <v>276</v>
      </c>
      <c r="M14" s="25" t="s">
        <v>486</v>
      </c>
      <c r="N14" s="22"/>
      <c r="O14" s="22"/>
      <c r="P14" s="22"/>
      <c r="R14" s="24">
        <v>11</v>
      </c>
      <c r="S14" s="23" t="s">
        <v>286</v>
      </c>
      <c r="T14" s="26"/>
      <c r="U14" s="24">
        <v>2580</v>
      </c>
      <c r="V14" s="24">
        <v>6</v>
      </c>
      <c r="W14" s="24">
        <v>692</v>
      </c>
      <c r="X14" s="24">
        <v>500</v>
      </c>
      <c r="Y14" s="24">
        <v>753</v>
      </c>
      <c r="Z14" s="24">
        <v>0</v>
      </c>
      <c r="AA14" s="24"/>
    </row>
    <row r="15" spans="1:27" x14ac:dyDescent="0.25">
      <c r="A15" t="s">
        <v>20</v>
      </c>
      <c r="B15" t="s">
        <v>21</v>
      </c>
      <c r="J15" t="s">
        <v>432</v>
      </c>
      <c r="K15" s="22">
        <v>7</v>
      </c>
      <c r="L15" s="22" t="s">
        <v>482</v>
      </c>
      <c r="M15" s="25" t="s">
        <v>487</v>
      </c>
      <c r="N15" s="22"/>
      <c r="O15" s="22"/>
      <c r="P15" s="22"/>
      <c r="R15" s="24">
        <v>12</v>
      </c>
      <c r="S15" s="23" t="s">
        <v>289</v>
      </c>
      <c r="T15" s="26"/>
      <c r="U15" s="24">
        <v>4016</v>
      </c>
      <c r="V15" s="24">
        <v>28</v>
      </c>
      <c r="W15" s="24">
        <v>1094</v>
      </c>
      <c r="X15" s="24">
        <v>864</v>
      </c>
      <c r="Y15" s="24">
        <v>1296</v>
      </c>
      <c r="Z15" s="24">
        <v>0</v>
      </c>
      <c r="AA15" s="24"/>
    </row>
    <row r="16" spans="1:27" x14ac:dyDescent="0.25">
      <c r="A16" t="s">
        <v>22</v>
      </c>
      <c r="B16" t="s">
        <v>23</v>
      </c>
      <c r="J16" t="s">
        <v>432</v>
      </c>
      <c r="K16" s="22">
        <v>8</v>
      </c>
      <c r="L16" s="22" t="s">
        <v>280</v>
      </c>
      <c r="M16" s="25" t="s">
        <v>488</v>
      </c>
      <c r="N16" s="22"/>
      <c r="O16" s="22"/>
      <c r="P16" s="22"/>
      <c r="R16" s="24">
        <v>13</v>
      </c>
      <c r="S16" s="23" t="s">
        <v>291</v>
      </c>
      <c r="T16" s="26"/>
      <c r="U16" s="24">
        <v>8828</v>
      </c>
      <c r="V16" s="24">
        <v>96</v>
      </c>
      <c r="W16" s="24">
        <v>2476</v>
      </c>
      <c r="X16" s="24">
        <v>1880</v>
      </c>
      <c r="Y16" s="24">
        <v>1410</v>
      </c>
      <c r="Z16" s="24">
        <v>0</v>
      </c>
      <c r="AA16" s="24"/>
    </row>
    <row r="17" spans="1:27" x14ac:dyDescent="0.25">
      <c r="A17" t="s">
        <v>24</v>
      </c>
      <c r="B17" t="s">
        <v>25</v>
      </c>
      <c r="J17" t="s">
        <v>432</v>
      </c>
      <c r="K17" s="22">
        <v>9</v>
      </c>
      <c r="L17" s="22" t="s">
        <v>282</v>
      </c>
      <c r="M17" s="25" t="s">
        <v>489</v>
      </c>
      <c r="N17" s="22"/>
      <c r="O17" s="22"/>
      <c r="P17" s="22"/>
      <c r="R17" s="24">
        <v>14</v>
      </c>
      <c r="S17" s="23" t="s">
        <v>294</v>
      </c>
      <c r="T17" s="26"/>
      <c r="U17" s="24">
        <v>2479</v>
      </c>
      <c r="V17" s="24">
        <v>18</v>
      </c>
      <c r="W17" s="24">
        <v>683</v>
      </c>
      <c r="X17" s="24">
        <v>491</v>
      </c>
      <c r="Y17" s="24">
        <v>1473</v>
      </c>
      <c r="Z17" s="24">
        <v>0</v>
      </c>
      <c r="AA17" s="24"/>
    </row>
    <row r="18" spans="1:27" x14ac:dyDescent="0.25">
      <c r="A18" t="s">
        <v>26</v>
      </c>
      <c r="B18" t="s">
        <v>27</v>
      </c>
      <c r="J18" t="s">
        <v>432</v>
      </c>
      <c r="K18" s="22">
        <v>10</v>
      </c>
      <c r="L18" s="22" t="s">
        <v>284</v>
      </c>
      <c r="M18" s="25" t="s">
        <v>490</v>
      </c>
      <c r="N18" s="22"/>
      <c r="O18" s="22"/>
      <c r="P18" s="22"/>
      <c r="R18" s="24">
        <v>15</v>
      </c>
      <c r="S18" s="23" t="s">
        <v>296</v>
      </c>
      <c r="T18" s="26"/>
      <c r="U18" s="24">
        <v>1608</v>
      </c>
      <c r="V18" s="24">
        <v>11</v>
      </c>
      <c r="W18" s="24">
        <v>445</v>
      </c>
      <c r="X18" s="24">
        <v>331</v>
      </c>
      <c r="Y18" s="24">
        <v>993</v>
      </c>
      <c r="Z18" s="24">
        <v>0</v>
      </c>
      <c r="AA18" s="24"/>
    </row>
    <row r="19" spans="1:27" x14ac:dyDescent="0.25">
      <c r="A19" t="s">
        <v>28</v>
      </c>
      <c r="B19" t="s">
        <v>29</v>
      </c>
      <c r="J19" t="s">
        <v>432</v>
      </c>
      <c r="K19" s="22">
        <v>11</v>
      </c>
      <c r="L19" s="22" t="s">
        <v>286</v>
      </c>
      <c r="M19" s="25" t="s">
        <v>491</v>
      </c>
      <c r="N19" s="22"/>
      <c r="O19" s="22"/>
      <c r="P19" s="22"/>
      <c r="R19" s="24">
        <v>16</v>
      </c>
      <c r="S19" s="23" t="s">
        <v>492</v>
      </c>
      <c r="T19" s="26"/>
      <c r="U19" s="24">
        <v>4622</v>
      </c>
      <c r="V19" s="24">
        <v>18</v>
      </c>
      <c r="W19" s="24">
        <v>1218</v>
      </c>
      <c r="X19" s="24">
        <v>936</v>
      </c>
      <c r="Y19" s="24">
        <v>1404</v>
      </c>
      <c r="Z19" s="24">
        <v>0</v>
      </c>
      <c r="AA19" s="24"/>
    </row>
    <row r="20" spans="1:27" x14ac:dyDescent="0.25">
      <c r="A20" t="s">
        <v>30</v>
      </c>
      <c r="B20" t="s">
        <v>31</v>
      </c>
      <c r="J20" t="s">
        <v>432</v>
      </c>
      <c r="K20" s="22">
        <v>12</v>
      </c>
      <c r="L20" s="22" t="s">
        <v>289</v>
      </c>
      <c r="M20" s="25" t="s">
        <v>493</v>
      </c>
      <c r="N20" s="22"/>
      <c r="O20" s="22"/>
      <c r="P20" s="22"/>
      <c r="R20" s="24">
        <v>17</v>
      </c>
      <c r="S20" s="23" t="s">
        <v>494</v>
      </c>
      <c r="T20" s="26"/>
      <c r="U20" s="24">
        <v>2837</v>
      </c>
      <c r="V20" s="24">
        <v>31</v>
      </c>
      <c r="W20" s="24">
        <v>809</v>
      </c>
      <c r="X20" s="24">
        <v>603</v>
      </c>
      <c r="Y20" s="24">
        <v>1809</v>
      </c>
      <c r="Z20" s="24">
        <v>4</v>
      </c>
      <c r="AA20" s="24"/>
    </row>
    <row r="21" spans="1:27" x14ac:dyDescent="0.25">
      <c r="A21" t="s">
        <v>32</v>
      </c>
      <c r="B21" t="s">
        <v>33</v>
      </c>
      <c r="J21" t="s">
        <v>432</v>
      </c>
      <c r="K21" s="22">
        <v>13</v>
      </c>
      <c r="L21" s="22" t="s">
        <v>291</v>
      </c>
      <c r="M21" s="25" t="s">
        <v>495</v>
      </c>
      <c r="N21" s="22"/>
      <c r="O21" s="22"/>
      <c r="P21" s="22"/>
      <c r="R21" s="24">
        <v>18</v>
      </c>
      <c r="S21" s="23" t="s">
        <v>301</v>
      </c>
      <c r="T21" s="26"/>
      <c r="U21" s="24">
        <v>3018</v>
      </c>
      <c r="V21" s="24">
        <v>21</v>
      </c>
      <c r="W21" s="24">
        <v>780</v>
      </c>
      <c r="X21" s="24">
        <v>639</v>
      </c>
      <c r="Y21" s="24">
        <v>639</v>
      </c>
      <c r="Z21" s="24">
        <v>0</v>
      </c>
      <c r="AA21" s="24"/>
    </row>
    <row r="22" spans="1:27" x14ac:dyDescent="0.25">
      <c r="A22" t="s">
        <v>34</v>
      </c>
      <c r="B22" t="s">
        <v>35</v>
      </c>
      <c r="J22" t="s">
        <v>432</v>
      </c>
      <c r="K22" s="22">
        <v>14</v>
      </c>
      <c r="L22" s="22" t="s">
        <v>294</v>
      </c>
      <c r="M22" s="25" t="s">
        <v>496</v>
      </c>
      <c r="N22" s="22"/>
      <c r="O22" s="22"/>
      <c r="P22" s="22"/>
      <c r="R22" s="24">
        <v>19</v>
      </c>
      <c r="S22" s="23" t="s">
        <v>303</v>
      </c>
      <c r="T22" s="26"/>
      <c r="U22" s="24">
        <v>1099</v>
      </c>
      <c r="V22" s="24">
        <v>9</v>
      </c>
      <c r="W22" s="24">
        <v>292</v>
      </c>
      <c r="X22" s="24">
        <v>225</v>
      </c>
      <c r="Y22" s="24">
        <v>337.5</v>
      </c>
      <c r="Z22" s="24">
        <v>1</v>
      </c>
      <c r="AA22" s="24"/>
    </row>
    <row r="23" spans="1:27" x14ac:dyDescent="0.25">
      <c r="A23" t="s">
        <v>36</v>
      </c>
      <c r="B23" t="s">
        <v>37</v>
      </c>
      <c r="J23" t="s">
        <v>432</v>
      </c>
      <c r="K23" s="22">
        <v>15</v>
      </c>
      <c r="L23" s="22" t="s">
        <v>296</v>
      </c>
      <c r="M23" s="25" t="s">
        <v>497</v>
      </c>
      <c r="N23" s="22"/>
      <c r="O23" s="22"/>
      <c r="P23" s="22"/>
      <c r="R23" s="24">
        <v>20</v>
      </c>
      <c r="S23" s="23" t="s">
        <v>304</v>
      </c>
      <c r="T23" s="26"/>
      <c r="U23" s="24">
        <v>2024</v>
      </c>
      <c r="V23" s="24">
        <v>16</v>
      </c>
      <c r="W23" s="24">
        <v>548</v>
      </c>
      <c r="X23" s="24">
        <v>438</v>
      </c>
      <c r="Y23" s="24">
        <v>657</v>
      </c>
      <c r="Z23" s="24">
        <v>0</v>
      </c>
      <c r="AA23" s="24"/>
    </row>
    <row r="24" spans="1:27" x14ac:dyDescent="0.25">
      <c r="A24" t="s">
        <v>38</v>
      </c>
      <c r="B24" t="s">
        <v>39</v>
      </c>
      <c r="J24" t="s">
        <v>432</v>
      </c>
      <c r="K24" s="22">
        <v>16</v>
      </c>
      <c r="L24" s="22" t="s">
        <v>492</v>
      </c>
      <c r="M24" s="25" t="s">
        <v>498</v>
      </c>
      <c r="N24" s="22"/>
      <c r="O24" s="22"/>
      <c r="P24" s="22"/>
      <c r="R24" s="24">
        <v>21</v>
      </c>
      <c r="S24" s="23" t="s">
        <v>306</v>
      </c>
      <c r="T24" s="26"/>
      <c r="U24" s="24">
        <v>6424</v>
      </c>
      <c r="V24" s="24">
        <v>54</v>
      </c>
      <c r="W24" s="24">
        <v>1748</v>
      </c>
      <c r="X24" s="24">
        <v>1326</v>
      </c>
      <c r="Y24" s="24">
        <v>1989</v>
      </c>
      <c r="Z24" s="24">
        <v>0</v>
      </c>
      <c r="AA24" s="24"/>
    </row>
    <row r="25" spans="1:27" x14ac:dyDescent="0.25">
      <c r="A25" t="s">
        <v>40</v>
      </c>
      <c r="B25" t="s">
        <v>41</v>
      </c>
      <c r="J25" t="s">
        <v>432</v>
      </c>
      <c r="K25" s="22">
        <v>17</v>
      </c>
      <c r="L25" s="22" t="s">
        <v>494</v>
      </c>
      <c r="M25" s="25" t="s">
        <v>499</v>
      </c>
      <c r="N25" s="22"/>
      <c r="O25" s="22"/>
      <c r="P25" s="22"/>
      <c r="R25" s="24">
        <v>22</v>
      </c>
      <c r="S25" s="23" t="s">
        <v>308</v>
      </c>
      <c r="T25" s="26"/>
      <c r="U25" s="24">
        <v>3136</v>
      </c>
      <c r="V25" s="24">
        <v>16</v>
      </c>
      <c r="W25" s="24">
        <v>842</v>
      </c>
      <c r="X25" s="24">
        <v>634</v>
      </c>
      <c r="Y25" s="24">
        <v>951</v>
      </c>
      <c r="Z25" s="24">
        <v>0</v>
      </c>
      <c r="AA25" s="24"/>
    </row>
    <row r="26" spans="1:27" x14ac:dyDescent="0.25">
      <c r="A26" t="s">
        <v>42</v>
      </c>
      <c r="B26" t="s">
        <v>43</v>
      </c>
      <c r="J26" t="s">
        <v>432</v>
      </c>
      <c r="K26" s="22">
        <v>18</v>
      </c>
      <c r="L26" s="22" t="s">
        <v>301</v>
      </c>
      <c r="M26" s="25" t="s">
        <v>500</v>
      </c>
      <c r="N26" s="22"/>
      <c r="O26" s="22"/>
      <c r="P26" s="22"/>
      <c r="R26" s="24">
        <v>23</v>
      </c>
      <c r="S26" s="23" t="s">
        <v>310</v>
      </c>
      <c r="T26" s="26"/>
      <c r="U26" s="24">
        <v>6424</v>
      </c>
      <c r="V26" s="24">
        <v>54</v>
      </c>
      <c r="W26" s="24">
        <v>1748</v>
      </c>
      <c r="X26" s="24">
        <v>1326</v>
      </c>
      <c r="Y26" s="24">
        <v>1989</v>
      </c>
      <c r="Z26" s="24">
        <v>0</v>
      </c>
      <c r="AA26" s="24"/>
    </row>
    <row r="27" spans="1:27" x14ac:dyDescent="0.25">
      <c r="A27" t="s">
        <v>44</v>
      </c>
      <c r="B27" t="s">
        <v>45</v>
      </c>
      <c r="J27" t="s">
        <v>432</v>
      </c>
      <c r="K27" s="22">
        <v>19</v>
      </c>
      <c r="L27" s="22" t="s">
        <v>303</v>
      </c>
      <c r="M27" s="25" t="s">
        <v>501</v>
      </c>
      <c r="N27" s="22"/>
      <c r="O27" s="22"/>
      <c r="P27" s="22"/>
      <c r="R27" s="24">
        <v>24</v>
      </c>
      <c r="S27" s="23" t="s">
        <v>311</v>
      </c>
      <c r="T27" s="26"/>
      <c r="U27" s="24">
        <v>12816</v>
      </c>
      <c r="V27" s="24">
        <v>156</v>
      </c>
      <c r="W27" s="24">
        <v>3480</v>
      </c>
      <c r="X27" s="24">
        <v>2562</v>
      </c>
      <c r="Y27" s="24">
        <v>1281</v>
      </c>
      <c r="Z27" s="24">
        <v>0</v>
      </c>
      <c r="AA27" s="24"/>
    </row>
    <row r="28" spans="1:27" x14ac:dyDescent="0.25">
      <c r="A28" t="s">
        <v>46</v>
      </c>
      <c r="B28" t="s">
        <v>47</v>
      </c>
      <c r="J28" t="s">
        <v>432</v>
      </c>
      <c r="K28" s="22">
        <v>20</v>
      </c>
      <c r="L28" s="22" t="s">
        <v>304</v>
      </c>
      <c r="M28" s="25" t="s">
        <v>502</v>
      </c>
      <c r="N28" s="22"/>
      <c r="O28" s="22"/>
      <c r="P28" s="22"/>
      <c r="R28" s="24">
        <v>25</v>
      </c>
      <c r="S28" s="23" t="s">
        <v>313</v>
      </c>
      <c r="T28" s="26"/>
      <c r="U28" s="24">
        <v>8328</v>
      </c>
      <c r="V28" s="24">
        <v>66</v>
      </c>
      <c r="W28" s="24">
        <v>2250</v>
      </c>
      <c r="X28" s="24">
        <v>1730</v>
      </c>
      <c r="Y28" s="24">
        <v>2598</v>
      </c>
      <c r="Z28" s="24">
        <v>4</v>
      </c>
      <c r="AA28" s="24"/>
    </row>
    <row r="29" spans="1:27" x14ac:dyDescent="0.25">
      <c r="A29" t="s">
        <v>48</v>
      </c>
      <c r="B29" t="s">
        <v>49</v>
      </c>
      <c r="J29" t="s">
        <v>432</v>
      </c>
      <c r="K29" s="22">
        <v>21</v>
      </c>
      <c r="L29" s="22" t="s">
        <v>306</v>
      </c>
      <c r="M29" s="25" t="s">
        <v>503</v>
      </c>
      <c r="N29" s="22"/>
      <c r="O29" s="22"/>
      <c r="P29" s="22"/>
      <c r="R29" s="24">
        <v>26</v>
      </c>
      <c r="S29" s="23" t="s">
        <v>314</v>
      </c>
      <c r="T29" s="26"/>
      <c r="U29" s="24">
        <v>4090</v>
      </c>
      <c r="V29" s="24">
        <v>38</v>
      </c>
      <c r="W29" s="24">
        <v>1080</v>
      </c>
      <c r="X29" s="24">
        <v>832</v>
      </c>
      <c r="Y29" s="24">
        <v>1248</v>
      </c>
      <c r="Z29" s="24">
        <v>0</v>
      </c>
      <c r="AA29" s="24"/>
    </row>
    <row r="30" spans="1:27" x14ac:dyDescent="0.25">
      <c r="A30" t="s">
        <v>50</v>
      </c>
      <c r="B30" t="s">
        <v>51</v>
      </c>
      <c r="J30" t="s">
        <v>432</v>
      </c>
      <c r="K30" s="22">
        <v>22</v>
      </c>
      <c r="L30" s="22" t="s">
        <v>308</v>
      </c>
      <c r="M30" s="25" t="s">
        <v>504</v>
      </c>
      <c r="N30" s="22"/>
      <c r="O30" s="22"/>
      <c r="P30" s="22"/>
      <c r="R30" s="24">
        <v>27</v>
      </c>
      <c r="S30" s="23" t="s">
        <v>315</v>
      </c>
      <c r="T30" s="26"/>
      <c r="U30" s="24">
        <v>106724</v>
      </c>
      <c r="V30" s="24">
        <v>762</v>
      </c>
      <c r="W30" s="24">
        <v>30104</v>
      </c>
      <c r="X30" s="24">
        <v>21864</v>
      </c>
      <c r="Y30" s="24">
        <v>5436</v>
      </c>
      <c r="Z30" s="24">
        <v>0</v>
      </c>
      <c r="AA30" s="24"/>
    </row>
    <row r="31" spans="1:27" x14ac:dyDescent="0.25">
      <c r="A31" t="s">
        <v>52</v>
      </c>
      <c r="B31" t="s">
        <v>53</v>
      </c>
      <c r="J31" t="s">
        <v>432</v>
      </c>
      <c r="K31" s="22">
        <v>23</v>
      </c>
      <c r="L31" s="22" t="s">
        <v>310</v>
      </c>
      <c r="M31" s="25" t="s">
        <v>503</v>
      </c>
      <c r="N31" s="22"/>
      <c r="O31" s="22"/>
      <c r="P31" s="22"/>
      <c r="R31" s="24">
        <v>28</v>
      </c>
      <c r="S31" s="23" t="s">
        <v>317</v>
      </c>
      <c r="T31" s="26"/>
      <c r="U31" s="24">
        <v>6214</v>
      </c>
      <c r="V31" s="24">
        <v>50</v>
      </c>
      <c r="W31" s="24">
        <v>1690</v>
      </c>
      <c r="X31" s="24">
        <v>1332</v>
      </c>
      <c r="Y31" s="24">
        <v>1998</v>
      </c>
      <c r="Z31" s="24">
        <v>0</v>
      </c>
      <c r="AA31" s="24"/>
    </row>
    <row r="32" spans="1:27" x14ac:dyDescent="0.25">
      <c r="A32" t="s">
        <v>54</v>
      </c>
      <c r="B32" t="s">
        <v>321</v>
      </c>
      <c r="J32" t="s">
        <v>432</v>
      </c>
      <c r="K32" s="22">
        <v>24</v>
      </c>
      <c r="L32" s="22" t="s">
        <v>311</v>
      </c>
      <c r="M32" s="25" t="s">
        <v>505</v>
      </c>
      <c r="N32" s="22"/>
      <c r="O32" s="22"/>
      <c r="P32" s="22"/>
      <c r="R32" s="24">
        <v>29</v>
      </c>
      <c r="S32" s="23" t="s">
        <v>319</v>
      </c>
      <c r="T32" s="26"/>
      <c r="U32" s="24">
        <v>15810</v>
      </c>
      <c r="V32" s="24">
        <v>174</v>
      </c>
      <c r="W32" s="24">
        <v>4356</v>
      </c>
      <c r="X32" s="24">
        <v>3204</v>
      </c>
      <c r="Y32" s="24">
        <v>3204</v>
      </c>
      <c r="Z32" s="24">
        <v>30</v>
      </c>
      <c r="AA32" s="27"/>
    </row>
    <row r="33" spans="1:27" x14ac:dyDescent="0.25">
      <c r="A33" t="s">
        <v>55</v>
      </c>
      <c r="B33" t="s">
        <v>323</v>
      </c>
      <c r="J33" t="s">
        <v>432</v>
      </c>
      <c r="K33" s="22">
        <v>25</v>
      </c>
      <c r="L33" s="22" t="s">
        <v>313</v>
      </c>
      <c r="M33" s="25" t="s">
        <v>506</v>
      </c>
      <c r="N33" s="22"/>
      <c r="O33" s="22"/>
      <c r="P33" s="22"/>
      <c r="R33" s="24">
        <v>30</v>
      </c>
      <c r="S33" s="23" t="s">
        <v>322</v>
      </c>
      <c r="T33" s="26"/>
      <c r="U33" s="24">
        <v>5428</v>
      </c>
      <c r="V33" s="24">
        <v>62</v>
      </c>
      <c r="W33" s="24">
        <v>1479</v>
      </c>
      <c r="X33" s="24">
        <v>1096</v>
      </c>
      <c r="Y33" s="24">
        <v>3288</v>
      </c>
      <c r="Z33" s="24">
        <v>9</v>
      </c>
      <c r="AA33" s="24"/>
    </row>
    <row r="34" spans="1:27" x14ac:dyDescent="0.25">
      <c r="A34" t="s">
        <v>56</v>
      </c>
      <c r="B34" t="s">
        <v>57</v>
      </c>
      <c r="J34" t="s">
        <v>432</v>
      </c>
      <c r="K34" s="22">
        <v>26</v>
      </c>
      <c r="L34" s="22" t="s">
        <v>314</v>
      </c>
      <c r="M34" s="25" t="s">
        <v>507</v>
      </c>
      <c r="N34" s="22"/>
      <c r="O34" s="22"/>
      <c r="P34" s="22"/>
      <c r="R34" s="24">
        <v>31</v>
      </c>
      <c r="S34" s="23" t="s">
        <v>324</v>
      </c>
      <c r="T34" s="26"/>
      <c r="U34" s="24">
        <v>8812</v>
      </c>
      <c r="V34" s="24">
        <v>100</v>
      </c>
      <c r="W34" s="24">
        <v>2532</v>
      </c>
      <c r="X34" s="24">
        <v>1868</v>
      </c>
      <c r="Y34" s="24">
        <v>1401</v>
      </c>
      <c r="Z34" s="24">
        <v>0</v>
      </c>
      <c r="AA34" s="24"/>
    </row>
    <row r="35" spans="1:27" x14ac:dyDescent="0.25">
      <c r="A35" t="s">
        <v>58</v>
      </c>
      <c r="B35" t="s">
        <v>59</v>
      </c>
      <c r="J35" t="s">
        <v>432</v>
      </c>
      <c r="K35" s="22">
        <v>27</v>
      </c>
      <c r="L35" s="22" t="s">
        <v>315</v>
      </c>
      <c r="M35" s="25" t="s">
        <v>508</v>
      </c>
      <c r="N35" s="22"/>
      <c r="O35" s="22"/>
      <c r="P35" s="22"/>
      <c r="R35" s="24">
        <v>32</v>
      </c>
      <c r="S35" s="23" t="s">
        <v>326</v>
      </c>
      <c r="T35" s="26"/>
      <c r="U35" s="24">
        <v>2876</v>
      </c>
      <c r="V35" s="24">
        <v>14</v>
      </c>
      <c r="W35" s="24">
        <v>772</v>
      </c>
      <c r="X35" s="24">
        <v>624</v>
      </c>
      <c r="Y35" s="24">
        <v>936</v>
      </c>
      <c r="Z35" s="24">
        <v>0</v>
      </c>
      <c r="AA35" s="24"/>
    </row>
    <row r="36" spans="1:27" x14ac:dyDescent="0.25">
      <c r="A36" t="s">
        <v>60</v>
      </c>
      <c r="B36" t="s">
        <v>61</v>
      </c>
      <c r="J36" t="s">
        <v>432</v>
      </c>
      <c r="K36" s="22"/>
      <c r="L36" s="22"/>
      <c r="M36" s="25" t="s">
        <v>509</v>
      </c>
      <c r="N36" s="22"/>
      <c r="O36" s="22"/>
      <c r="P36" s="22"/>
      <c r="R36" s="24">
        <v>33</v>
      </c>
      <c r="S36" s="23" t="s">
        <v>327</v>
      </c>
      <c r="T36" s="26"/>
      <c r="U36" s="24">
        <v>17612</v>
      </c>
      <c r="V36" s="24">
        <v>128</v>
      </c>
      <c r="W36" s="24">
        <v>4884</v>
      </c>
      <c r="X36" s="24">
        <v>3532</v>
      </c>
      <c r="Y36" s="24">
        <v>2649</v>
      </c>
      <c r="Z36" s="24">
        <v>0</v>
      </c>
      <c r="AA36" s="24"/>
    </row>
    <row r="37" spans="1:27" x14ac:dyDescent="0.25">
      <c r="A37" t="s">
        <v>62</v>
      </c>
      <c r="B37" t="s">
        <v>63</v>
      </c>
      <c r="J37" t="s">
        <v>432</v>
      </c>
      <c r="K37" s="22"/>
      <c r="L37" s="22"/>
      <c r="M37" s="25" t="s">
        <v>510</v>
      </c>
      <c r="N37" s="22"/>
      <c r="O37" s="22"/>
      <c r="P37" s="22"/>
      <c r="R37" s="24">
        <v>34</v>
      </c>
      <c r="S37" s="23" t="s">
        <v>328</v>
      </c>
      <c r="T37" s="26"/>
      <c r="U37" s="24">
        <v>21756</v>
      </c>
      <c r="V37" s="24">
        <v>210</v>
      </c>
      <c r="W37" s="24">
        <v>5886</v>
      </c>
      <c r="X37" s="24">
        <v>4500</v>
      </c>
      <c r="Y37" s="24">
        <v>2250</v>
      </c>
      <c r="Z37" s="24">
        <v>0</v>
      </c>
      <c r="AA37" s="24"/>
    </row>
    <row r="38" spans="1:27" x14ac:dyDescent="0.25">
      <c r="A38" t="s">
        <v>64</v>
      </c>
      <c r="B38" t="s">
        <v>65</v>
      </c>
      <c r="J38" t="s">
        <v>432</v>
      </c>
      <c r="K38" s="22">
        <v>28</v>
      </c>
      <c r="L38" s="22" t="s">
        <v>317</v>
      </c>
      <c r="M38" s="22" t="s">
        <v>511</v>
      </c>
      <c r="N38" s="22"/>
      <c r="O38" s="22"/>
      <c r="P38" s="22"/>
      <c r="R38" s="24">
        <v>35</v>
      </c>
      <c r="S38" s="23" t="s">
        <v>329</v>
      </c>
      <c r="T38" s="26"/>
      <c r="U38" s="24">
        <v>2672</v>
      </c>
      <c r="V38" s="24">
        <v>16</v>
      </c>
      <c r="W38" s="24">
        <v>712</v>
      </c>
      <c r="X38" s="24">
        <v>540</v>
      </c>
      <c r="Y38" s="24">
        <v>1620</v>
      </c>
      <c r="Z38" s="24">
        <v>0</v>
      </c>
      <c r="AA38" s="24"/>
    </row>
    <row r="39" spans="1:27" x14ac:dyDescent="0.25">
      <c r="A39" t="s">
        <v>66</v>
      </c>
      <c r="B39" t="s">
        <v>67</v>
      </c>
      <c r="J39" t="s">
        <v>432</v>
      </c>
      <c r="K39" s="22"/>
      <c r="L39" s="22"/>
      <c r="M39" s="22" t="s">
        <v>512</v>
      </c>
      <c r="N39" s="22"/>
      <c r="O39" s="22"/>
      <c r="P39" s="22"/>
      <c r="R39" s="24">
        <v>36</v>
      </c>
      <c r="S39" s="23" t="s">
        <v>331</v>
      </c>
      <c r="T39" s="26"/>
      <c r="U39" s="24">
        <v>7578</v>
      </c>
      <c r="V39" s="24">
        <v>74</v>
      </c>
      <c r="W39" s="24">
        <v>2048</v>
      </c>
      <c r="X39" s="24">
        <v>1520</v>
      </c>
      <c r="Y39" s="24">
        <v>2280</v>
      </c>
      <c r="Z39" s="24">
        <v>0</v>
      </c>
      <c r="AA39" s="24"/>
    </row>
    <row r="40" spans="1:27" x14ac:dyDescent="0.25">
      <c r="A40" t="s">
        <v>68</v>
      </c>
      <c r="B40" t="s">
        <v>69</v>
      </c>
      <c r="J40" t="s">
        <v>432</v>
      </c>
      <c r="K40" s="22">
        <v>29</v>
      </c>
      <c r="L40" s="22" t="s">
        <v>319</v>
      </c>
      <c r="M40" s="25" t="s">
        <v>513</v>
      </c>
      <c r="N40" s="22"/>
      <c r="O40" s="22"/>
      <c r="P40" s="22"/>
      <c r="R40" s="24">
        <v>37</v>
      </c>
      <c r="S40" s="23" t="s">
        <v>332</v>
      </c>
      <c r="T40" s="26"/>
      <c r="U40" s="24">
        <v>204096</v>
      </c>
      <c r="V40" s="24">
        <v>1284</v>
      </c>
      <c r="W40" s="24">
        <v>55464</v>
      </c>
      <c r="X40" s="24">
        <v>42096</v>
      </c>
      <c r="Y40" s="24">
        <v>5973</v>
      </c>
      <c r="Z40" s="24">
        <v>0</v>
      </c>
      <c r="AA40" s="24"/>
    </row>
    <row r="41" spans="1:27" x14ac:dyDescent="0.25">
      <c r="A41" t="s">
        <v>70</v>
      </c>
      <c r="B41" t="s">
        <v>71</v>
      </c>
      <c r="J41" t="s">
        <v>432</v>
      </c>
      <c r="K41" s="22"/>
      <c r="L41" s="22"/>
      <c r="M41" s="25" t="s">
        <v>514</v>
      </c>
      <c r="N41" s="22"/>
      <c r="O41" s="22"/>
      <c r="P41" s="22"/>
      <c r="R41" s="24">
        <v>38</v>
      </c>
      <c r="S41" s="23" t="s">
        <v>334</v>
      </c>
      <c r="T41" s="26"/>
      <c r="U41" s="24">
        <v>6500</v>
      </c>
      <c r="V41" s="24">
        <v>64</v>
      </c>
      <c r="W41" s="24">
        <v>1732</v>
      </c>
      <c r="X41" s="24">
        <v>1316</v>
      </c>
      <c r="Y41" s="24">
        <v>987</v>
      </c>
      <c r="Z41" s="24">
        <v>0</v>
      </c>
      <c r="AA41" s="24"/>
    </row>
    <row r="42" spans="1:27" x14ac:dyDescent="0.25">
      <c r="A42" t="s">
        <v>72</v>
      </c>
      <c r="B42" t="s">
        <v>338</v>
      </c>
      <c r="J42" t="s">
        <v>432</v>
      </c>
      <c r="K42" s="22"/>
      <c r="L42" s="22"/>
      <c r="M42" s="25" t="s">
        <v>515</v>
      </c>
      <c r="N42" s="22"/>
      <c r="O42" s="22"/>
      <c r="P42" s="22"/>
      <c r="R42" s="24">
        <v>39</v>
      </c>
      <c r="S42" s="23" t="s">
        <v>336</v>
      </c>
      <c r="T42" s="26"/>
      <c r="U42" s="24">
        <v>2884</v>
      </c>
      <c r="V42" s="24">
        <v>20</v>
      </c>
      <c r="W42" s="24">
        <v>801</v>
      </c>
      <c r="X42" s="24">
        <v>571</v>
      </c>
      <c r="Y42" s="24">
        <v>1713</v>
      </c>
      <c r="Z42" s="24">
        <v>0</v>
      </c>
      <c r="AA42" s="27"/>
    </row>
    <row r="43" spans="1:27" x14ac:dyDescent="0.25">
      <c r="A43" t="s">
        <v>73</v>
      </c>
      <c r="B43" t="s">
        <v>74</v>
      </c>
      <c r="J43" t="s">
        <v>432</v>
      </c>
      <c r="K43" s="22"/>
      <c r="L43" s="22"/>
      <c r="M43" s="25" t="s">
        <v>516</v>
      </c>
      <c r="N43" s="22"/>
      <c r="O43" s="22"/>
      <c r="P43" s="22"/>
      <c r="R43" s="24">
        <v>40</v>
      </c>
      <c r="S43" s="23" t="s">
        <v>339</v>
      </c>
      <c r="T43" s="26"/>
      <c r="U43" s="24">
        <v>8582</v>
      </c>
      <c r="V43" s="24">
        <v>60</v>
      </c>
      <c r="W43" s="24">
        <v>2310</v>
      </c>
      <c r="X43" s="24">
        <v>1782</v>
      </c>
      <c r="Y43" s="24">
        <v>2673</v>
      </c>
      <c r="Z43" s="24">
        <v>2</v>
      </c>
      <c r="AA43" s="24"/>
    </row>
    <row r="44" spans="1:27" x14ac:dyDescent="0.25">
      <c r="A44" t="s">
        <v>75</v>
      </c>
      <c r="B44" t="s">
        <v>76</v>
      </c>
      <c r="J44" t="s">
        <v>432</v>
      </c>
      <c r="K44" s="22">
        <v>30</v>
      </c>
      <c r="L44" s="22" t="s">
        <v>322</v>
      </c>
      <c r="M44" s="25" t="s">
        <v>517</v>
      </c>
      <c r="N44" s="22"/>
      <c r="O44" s="22"/>
      <c r="P44" s="22"/>
      <c r="R44" s="24">
        <v>41</v>
      </c>
      <c r="S44" s="23" t="s">
        <v>341</v>
      </c>
      <c r="T44" s="26"/>
      <c r="U44" s="24">
        <v>8676</v>
      </c>
      <c r="V44" s="24">
        <v>66</v>
      </c>
      <c r="W44" s="24">
        <v>2421</v>
      </c>
      <c r="X44" s="24">
        <v>1828</v>
      </c>
      <c r="Y44" s="24">
        <v>3342</v>
      </c>
      <c r="Z44" s="24">
        <v>0</v>
      </c>
      <c r="AA44" s="24"/>
    </row>
    <row r="45" spans="1:27" x14ac:dyDescent="0.25">
      <c r="A45" t="s">
        <v>77</v>
      </c>
      <c r="B45" t="s">
        <v>346</v>
      </c>
      <c r="J45" t="s">
        <v>432</v>
      </c>
      <c r="K45" s="22"/>
      <c r="L45" s="22"/>
      <c r="M45" s="25" t="s">
        <v>518</v>
      </c>
      <c r="N45" s="22"/>
      <c r="O45" s="22"/>
      <c r="P45" s="22"/>
      <c r="R45" s="24">
        <v>42</v>
      </c>
      <c r="S45" s="23" t="s">
        <v>343</v>
      </c>
      <c r="T45" s="26"/>
      <c r="U45" s="24">
        <v>11020</v>
      </c>
      <c r="V45" s="24">
        <v>120</v>
      </c>
      <c r="W45" s="24">
        <v>3016</v>
      </c>
      <c r="X45" s="24">
        <v>2288</v>
      </c>
      <c r="Y45" s="24">
        <v>1716</v>
      </c>
      <c r="Z45" s="24">
        <v>0</v>
      </c>
      <c r="AA45" s="28"/>
    </row>
    <row r="46" spans="1:27" x14ac:dyDescent="0.25">
      <c r="A46" t="s">
        <v>78</v>
      </c>
      <c r="B46" t="s">
        <v>349</v>
      </c>
      <c r="J46" t="s">
        <v>432</v>
      </c>
      <c r="K46" s="22"/>
      <c r="L46" s="22"/>
      <c r="M46" s="25" t="s">
        <v>519</v>
      </c>
      <c r="N46" s="22"/>
      <c r="O46" s="22"/>
      <c r="P46" s="22"/>
      <c r="R46" s="24">
        <v>43</v>
      </c>
      <c r="S46" s="23" t="s">
        <v>347</v>
      </c>
      <c r="T46" s="26"/>
      <c r="U46" s="24">
        <v>22962</v>
      </c>
      <c r="V46" s="24">
        <v>213</v>
      </c>
      <c r="W46" s="24">
        <v>6225</v>
      </c>
      <c r="X46" s="24">
        <v>4581</v>
      </c>
      <c r="Y46" s="24">
        <v>13725</v>
      </c>
      <c r="Z46" s="24">
        <v>66</v>
      </c>
      <c r="AA46" s="29"/>
    </row>
    <row r="47" spans="1:27" x14ac:dyDescent="0.25">
      <c r="A47" t="s">
        <v>79</v>
      </c>
      <c r="B47" t="s">
        <v>80</v>
      </c>
      <c r="J47" t="s">
        <v>432</v>
      </c>
      <c r="K47" s="22"/>
      <c r="L47" s="22"/>
      <c r="M47" s="25" t="s">
        <v>520</v>
      </c>
      <c r="N47" s="22"/>
      <c r="O47" s="22"/>
      <c r="P47" s="22"/>
      <c r="R47" s="24">
        <v>44</v>
      </c>
      <c r="S47" s="23" t="s">
        <v>350</v>
      </c>
      <c r="T47" s="26"/>
      <c r="U47" s="24">
        <v>3229</v>
      </c>
      <c r="V47" s="24">
        <v>20</v>
      </c>
      <c r="W47" s="24">
        <v>876</v>
      </c>
      <c r="X47" s="24">
        <v>652</v>
      </c>
      <c r="Y47" s="24">
        <v>1956</v>
      </c>
      <c r="Z47" s="24">
        <v>0</v>
      </c>
      <c r="AA47" s="29"/>
    </row>
    <row r="48" spans="1:27" x14ac:dyDescent="0.25">
      <c r="A48" t="s">
        <v>81</v>
      </c>
      <c r="B48" t="s">
        <v>355</v>
      </c>
      <c r="J48" t="s">
        <v>432</v>
      </c>
      <c r="K48" s="22">
        <v>31</v>
      </c>
      <c r="L48" s="22" t="s">
        <v>324</v>
      </c>
      <c r="M48" s="25" t="s">
        <v>521</v>
      </c>
      <c r="N48" s="22"/>
      <c r="O48" s="22"/>
      <c r="P48" s="22"/>
      <c r="R48" s="24">
        <v>45</v>
      </c>
      <c r="S48" s="23" t="s">
        <v>353</v>
      </c>
      <c r="T48" s="26"/>
      <c r="U48" s="24">
        <v>24661</v>
      </c>
      <c r="V48" s="24">
        <v>244</v>
      </c>
      <c r="W48" s="24">
        <v>6417</v>
      </c>
      <c r="X48" s="24">
        <v>4878</v>
      </c>
      <c r="Y48" s="24">
        <v>14634</v>
      </c>
      <c r="Z48" s="24">
        <v>32</v>
      </c>
      <c r="AA48" s="27"/>
    </row>
    <row r="49" spans="1:27" x14ac:dyDescent="0.25">
      <c r="A49" t="s">
        <v>82</v>
      </c>
      <c r="B49" t="s">
        <v>358</v>
      </c>
      <c r="J49" t="s">
        <v>432</v>
      </c>
      <c r="K49" s="22">
        <v>32</v>
      </c>
      <c r="L49" s="22" t="s">
        <v>326</v>
      </c>
      <c r="M49" s="25" t="s">
        <v>522</v>
      </c>
      <c r="N49" s="22"/>
      <c r="O49" s="22"/>
      <c r="P49" s="22"/>
      <c r="R49" s="24">
        <v>46</v>
      </c>
      <c r="S49" s="23" t="s">
        <v>356</v>
      </c>
      <c r="T49" s="26"/>
      <c r="U49" s="24">
        <v>2096</v>
      </c>
      <c r="V49" s="24">
        <v>19</v>
      </c>
      <c r="W49" s="24">
        <v>598</v>
      </c>
      <c r="X49" s="24">
        <v>434</v>
      </c>
      <c r="Y49" s="24">
        <v>1302</v>
      </c>
      <c r="Z49" s="24">
        <v>0</v>
      </c>
      <c r="AA49" s="27"/>
    </row>
    <row r="50" spans="1:27" x14ac:dyDescent="0.25">
      <c r="A50" t="s">
        <v>83</v>
      </c>
      <c r="B50" t="s">
        <v>361</v>
      </c>
      <c r="J50" t="s">
        <v>432</v>
      </c>
      <c r="K50" s="22">
        <v>33</v>
      </c>
      <c r="L50" s="22" t="s">
        <v>327</v>
      </c>
      <c r="M50" s="25" t="s">
        <v>523</v>
      </c>
      <c r="N50" s="22"/>
      <c r="O50" s="22"/>
      <c r="P50" s="22"/>
      <c r="R50" s="24">
        <v>47</v>
      </c>
      <c r="S50" s="23" t="s">
        <v>359</v>
      </c>
      <c r="T50" s="26"/>
      <c r="U50" s="24">
        <v>5015</v>
      </c>
      <c r="V50" s="24">
        <v>50</v>
      </c>
      <c r="W50" s="24">
        <v>1219</v>
      </c>
      <c r="X50" s="24">
        <v>967</v>
      </c>
      <c r="Y50" s="24">
        <v>2907</v>
      </c>
      <c r="Z50" s="24">
        <v>3</v>
      </c>
      <c r="AA50" s="27"/>
    </row>
    <row r="51" spans="1:27" x14ac:dyDescent="0.25">
      <c r="A51" t="s">
        <v>84</v>
      </c>
      <c r="B51" t="s">
        <v>85</v>
      </c>
      <c r="F51" t="s">
        <v>653</v>
      </c>
      <c r="J51" t="s">
        <v>432</v>
      </c>
      <c r="K51" s="22">
        <v>34</v>
      </c>
      <c r="L51" s="22" t="s">
        <v>328</v>
      </c>
      <c r="M51" s="25" t="s">
        <v>524</v>
      </c>
      <c r="N51" s="22"/>
      <c r="O51" s="22"/>
      <c r="P51" s="22"/>
      <c r="R51" s="24">
        <v>48</v>
      </c>
      <c r="S51" s="23" t="s">
        <v>362</v>
      </c>
      <c r="T51" s="26"/>
      <c r="U51" s="24">
        <v>4713</v>
      </c>
      <c r="V51" s="24">
        <v>48</v>
      </c>
      <c r="W51" s="24">
        <v>1147</v>
      </c>
      <c r="X51" s="24">
        <v>892</v>
      </c>
      <c r="Y51" s="24">
        <v>2682</v>
      </c>
      <c r="Z51" s="24">
        <v>3</v>
      </c>
      <c r="AA51" s="24"/>
    </row>
    <row r="52" spans="1:27" x14ac:dyDescent="0.25">
      <c r="A52" t="s">
        <v>86</v>
      </c>
      <c r="B52" t="s">
        <v>367</v>
      </c>
      <c r="J52" t="s">
        <v>432</v>
      </c>
      <c r="K52" s="22">
        <v>35</v>
      </c>
      <c r="L52" s="22" t="s">
        <v>329</v>
      </c>
      <c r="M52" s="25" t="s">
        <v>525</v>
      </c>
      <c r="N52" s="22"/>
      <c r="O52" s="22"/>
      <c r="P52" s="22"/>
      <c r="R52" s="24">
        <v>49</v>
      </c>
      <c r="S52" s="23" t="s">
        <v>364</v>
      </c>
      <c r="T52" s="26"/>
      <c r="U52" s="24">
        <v>6723</v>
      </c>
      <c r="V52" s="24">
        <v>80</v>
      </c>
      <c r="W52" s="24">
        <v>1630</v>
      </c>
      <c r="X52" s="24">
        <v>1291</v>
      </c>
      <c r="Y52" s="24">
        <v>3873</v>
      </c>
      <c r="Z52" s="24">
        <v>2</v>
      </c>
      <c r="AA52" s="27"/>
    </row>
    <row r="53" spans="1:27" x14ac:dyDescent="0.25">
      <c r="A53" t="s">
        <v>907</v>
      </c>
      <c r="B53" t="s">
        <v>908</v>
      </c>
      <c r="J53" t="s">
        <v>432</v>
      </c>
      <c r="K53" s="22">
        <v>36</v>
      </c>
      <c r="L53" s="22" t="s">
        <v>331</v>
      </c>
      <c r="M53" s="25" t="s">
        <v>526</v>
      </c>
      <c r="N53" s="22"/>
      <c r="O53" s="22"/>
      <c r="P53" s="22"/>
      <c r="R53" s="24">
        <v>50</v>
      </c>
      <c r="S53" s="23" t="s">
        <v>368</v>
      </c>
      <c r="T53" s="26"/>
      <c r="U53" s="24">
        <v>23634</v>
      </c>
      <c r="V53" s="24">
        <v>219</v>
      </c>
      <c r="W53" s="24">
        <v>6334</v>
      </c>
      <c r="X53" s="24">
        <v>4893</v>
      </c>
      <c r="Y53" s="24">
        <v>6240</v>
      </c>
      <c r="Z53" s="24">
        <v>0</v>
      </c>
      <c r="AA53" s="27"/>
    </row>
    <row r="54" spans="1:27" x14ac:dyDescent="0.25">
      <c r="A54" t="s">
        <v>906</v>
      </c>
      <c r="B54" t="s">
        <v>909</v>
      </c>
      <c r="J54" t="s">
        <v>432</v>
      </c>
      <c r="K54" s="22">
        <v>37</v>
      </c>
      <c r="L54" s="22" t="s">
        <v>332</v>
      </c>
      <c r="M54" s="25" t="s">
        <v>527</v>
      </c>
      <c r="N54" s="22"/>
      <c r="O54" s="22"/>
      <c r="P54" s="22"/>
      <c r="R54" s="24">
        <v>51</v>
      </c>
      <c r="S54" s="23" t="s">
        <v>371</v>
      </c>
      <c r="T54" s="26"/>
      <c r="U54" s="24">
        <v>18200</v>
      </c>
      <c r="V54" s="24">
        <v>160</v>
      </c>
      <c r="W54" s="24">
        <v>5168</v>
      </c>
      <c r="X54" s="24">
        <v>3728</v>
      </c>
      <c r="Y54" s="24">
        <v>1398</v>
      </c>
      <c r="Z54" s="24">
        <v>0</v>
      </c>
      <c r="AA54" s="24"/>
    </row>
    <row r="55" spans="1:27" x14ac:dyDescent="0.25">
      <c r="A55" t="s">
        <v>855</v>
      </c>
      <c r="B55" t="s">
        <v>89</v>
      </c>
      <c r="J55" t="s">
        <v>432</v>
      </c>
      <c r="K55" s="22"/>
      <c r="L55" s="22"/>
      <c r="M55" s="25" t="s">
        <v>528</v>
      </c>
      <c r="N55" s="22"/>
      <c r="O55" s="22"/>
      <c r="P55" s="22"/>
      <c r="R55" s="24">
        <v>52</v>
      </c>
      <c r="S55" s="23" t="s">
        <v>373</v>
      </c>
      <c r="T55" s="26"/>
      <c r="U55" s="24">
        <v>9342</v>
      </c>
      <c r="V55" s="24">
        <v>86</v>
      </c>
      <c r="W55" s="24">
        <v>2424</v>
      </c>
      <c r="X55" s="24">
        <v>1944</v>
      </c>
      <c r="Y55" s="24">
        <v>2916</v>
      </c>
      <c r="Z55" s="24">
        <v>0</v>
      </c>
      <c r="AA55" s="27"/>
    </row>
    <row r="56" spans="1:27" x14ac:dyDescent="0.25">
      <c r="A56" t="s">
        <v>856</v>
      </c>
      <c r="B56" t="s">
        <v>375</v>
      </c>
      <c r="J56" t="s">
        <v>432</v>
      </c>
      <c r="K56" s="22"/>
      <c r="L56" s="22"/>
      <c r="M56" s="25" t="s">
        <v>529</v>
      </c>
      <c r="N56" s="22"/>
      <c r="O56" s="22"/>
      <c r="P56" s="22"/>
      <c r="R56" s="24">
        <v>53</v>
      </c>
      <c r="S56" s="23" t="s">
        <v>376</v>
      </c>
      <c r="T56" s="26"/>
      <c r="U56" s="24">
        <v>8484</v>
      </c>
      <c r="V56" s="24">
        <v>60</v>
      </c>
      <c r="W56" s="24">
        <v>2272</v>
      </c>
      <c r="X56" s="24">
        <v>1736</v>
      </c>
      <c r="Y56" s="24">
        <v>1302</v>
      </c>
      <c r="Z56" s="24">
        <v>0</v>
      </c>
      <c r="AA56" s="24"/>
    </row>
    <row r="57" spans="1:27" x14ac:dyDescent="0.25">
      <c r="A57" t="s">
        <v>857</v>
      </c>
      <c r="B57" t="s">
        <v>92</v>
      </c>
      <c r="J57" t="s">
        <v>432</v>
      </c>
      <c r="K57" s="22">
        <v>38</v>
      </c>
      <c r="L57" s="22" t="s">
        <v>334</v>
      </c>
      <c r="M57" s="25" t="s">
        <v>530</v>
      </c>
      <c r="N57" s="22"/>
      <c r="O57" s="22"/>
      <c r="P57" s="22"/>
      <c r="R57" s="24">
        <v>54</v>
      </c>
      <c r="S57" s="23" t="s">
        <v>378</v>
      </c>
      <c r="T57" s="26"/>
      <c r="U57" s="24">
        <v>2694</v>
      </c>
      <c r="V57" s="24">
        <v>19</v>
      </c>
      <c r="W57" s="24">
        <v>737</v>
      </c>
      <c r="X57" s="24">
        <v>533</v>
      </c>
      <c r="Y57" s="24">
        <v>1599</v>
      </c>
      <c r="Z57" s="24">
        <v>0</v>
      </c>
      <c r="AA57" s="24"/>
    </row>
    <row r="58" spans="1:27" x14ac:dyDescent="0.25">
      <c r="A58" t="s">
        <v>858</v>
      </c>
      <c r="B58" t="s">
        <v>94</v>
      </c>
      <c r="J58" t="s">
        <v>432</v>
      </c>
      <c r="K58" s="22">
        <v>39</v>
      </c>
      <c r="L58" s="22" t="s">
        <v>336</v>
      </c>
      <c r="M58" s="25" t="s">
        <v>531</v>
      </c>
      <c r="N58" s="22"/>
      <c r="O58" s="22"/>
      <c r="P58" s="22"/>
      <c r="R58" s="24">
        <v>55</v>
      </c>
      <c r="S58" s="23" t="s">
        <v>380</v>
      </c>
      <c r="T58" s="26"/>
      <c r="U58" s="24">
        <v>27684</v>
      </c>
      <c r="V58" s="24">
        <v>252</v>
      </c>
      <c r="W58" s="24">
        <v>7500</v>
      </c>
      <c r="X58" s="24">
        <v>5628</v>
      </c>
      <c r="Y58" s="24">
        <v>1410</v>
      </c>
      <c r="Z58" s="24">
        <v>0</v>
      </c>
      <c r="AA58" s="24"/>
    </row>
    <row r="59" spans="1:27" x14ac:dyDescent="0.25">
      <c r="A59" t="s">
        <v>859</v>
      </c>
      <c r="B59" t="s">
        <v>96</v>
      </c>
      <c r="J59" t="s">
        <v>432</v>
      </c>
      <c r="K59" s="22">
        <v>40</v>
      </c>
      <c r="L59" s="22" t="s">
        <v>339</v>
      </c>
      <c r="M59" s="25" t="s">
        <v>532</v>
      </c>
      <c r="N59" s="22"/>
      <c r="O59" s="22"/>
      <c r="P59" s="22"/>
      <c r="R59" s="24">
        <v>56</v>
      </c>
      <c r="S59" s="23" t="s">
        <v>533</v>
      </c>
      <c r="T59" s="26"/>
      <c r="U59" s="24">
        <v>38696</v>
      </c>
      <c r="V59" s="24">
        <v>316</v>
      </c>
      <c r="W59" s="24">
        <v>10928</v>
      </c>
      <c r="X59" s="24">
        <v>7956</v>
      </c>
      <c r="Y59" s="24">
        <v>5967</v>
      </c>
      <c r="Z59" s="24">
        <v>28</v>
      </c>
      <c r="AA59" s="24"/>
    </row>
    <row r="60" spans="1:27" x14ac:dyDescent="0.25">
      <c r="A60" t="s">
        <v>860</v>
      </c>
      <c r="B60" t="s">
        <v>98</v>
      </c>
      <c r="J60" t="s">
        <v>432</v>
      </c>
      <c r="K60" s="22">
        <v>41</v>
      </c>
      <c r="L60" s="22" t="s">
        <v>341</v>
      </c>
      <c r="M60" s="25" t="s">
        <v>534</v>
      </c>
      <c r="N60" s="22"/>
      <c r="O60" s="22"/>
      <c r="P60" s="22"/>
      <c r="R60" s="24">
        <v>57</v>
      </c>
      <c r="S60" s="23" t="s">
        <v>384</v>
      </c>
      <c r="T60" s="26"/>
      <c r="U60" s="24">
        <v>12888</v>
      </c>
      <c r="V60" s="24">
        <v>132</v>
      </c>
      <c r="W60" s="24">
        <v>3600</v>
      </c>
      <c r="X60" s="24">
        <v>2682</v>
      </c>
      <c r="Y60" s="24">
        <v>1341</v>
      </c>
      <c r="Z60" s="24">
        <v>0</v>
      </c>
      <c r="AA60" s="24"/>
    </row>
    <row r="61" spans="1:27" x14ac:dyDescent="0.25">
      <c r="A61" t="s">
        <v>861</v>
      </c>
      <c r="B61" t="s">
        <v>100</v>
      </c>
      <c r="J61" t="s">
        <v>432</v>
      </c>
      <c r="K61" s="22"/>
      <c r="L61" s="22"/>
      <c r="M61" s="25" t="s">
        <v>535</v>
      </c>
      <c r="N61" s="22"/>
      <c r="O61" s="22"/>
      <c r="P61" s="22"/>
      <c r="R61" s="24">
        <v>58</v>
      </c>
      <c r="S61" s="23" t="s">
        <v>385</v>
      </c>
      <c r="T61" s="26"/>
      <c r="U61" s="24">
        <v>0</v>
      </c>
      <c r="V61" s="24">
        <v>0</v>
      </c>
      <c r="W61" s="24">
        <v>0</v>
      </c>
      <c r="X61" s="24">
        <v>0</v>
      </c>
      <c r="Y61" s="24">
        <v>0</v>
      </c>
      <c r="Z61" s="24">
        <v>0</v>
      </c>
      <c r="AA61" s="24"/>
    </row>
    <row r="62" spans="1:27" x14ac:dyDescent="0.25">
      <c r="A62" t="s">
        <v>862</v>
      </c>
      <c r="B62" t="s">
        <v>102</v>
      </c>
      <c r="J62" t="s">
        <v>432</v>
      </c>
      <c r="K62" s="22">
        <v>42</v>
      </c>
      <c r="L62" s="22" t="s">
        <v>343</v>
      </c>
      <c r="M62" s="25" t="s">
        <v>536</v>
      </c>
      <c r="N62" s="22"/>
      <c r="O62" s="22"/>
      <c r="P62" s="22"/>
      <c r="R62" s="24">
        <v>59</v>
      </c>
      <c r="S62" s="23" t="s">
        <v>387</v>
      </c>
      <c r="T62" s="26"/>
      <c r="U62" s="24">
        <v>1040</v>
      </c>
      <c r="V62" s="24">
        <v>7</v>
      </c>
      <c r="W62" s="24">
        <v>289</v>
      </c>
      <c r="X62" s="24">
        <v>214</v>
      </c>
      <c r="Y62" s="24">
        <v>645</v>
      </c>
      <c r="Z62" s="24">
        <v>0</v>
      </c>
      <c r="AA62" s="24"/>
    </row>
    <row r="63" spans="1:27" x14ac:dyDescent="0.25">
      <c r="A63" t="s">
        <v>863</v>
      </c>
      <c r="B63" t="s">
        <v>104</v>
      </c>
      <c r="J63" t="s">
        <v>432</v>
      </c>
      <c r="K63" s="22">
        <v>43</v>
      </c>
      <c r="L63" s="22" t="s">
        <v>347</v>
      </c>
      <c r="M63" s="25" t="s">
        <v>537</v>
      </c>
      <c r="N63" s="22"/>
      <c r="O63" s="22"/>
      <c r="P63" s="22"/>
      <c r="R63" s="24">
        <v>60</v>
      </c>
      <c r="S63" s="23" t="s">
        <v>389</v>
      </c>
      <c r="T63" s="26"/>
      <c r="U63" s="24">
        <v>5364</v>
      </c>
      <c r="V63" s="24">
        <v>36</v>
      </c>
      <c r="W63" s="24">
        <v>1350</v>
      </c>
      <c r="X63" s="24">
        <v>176</v>
      </c>
      <c r="Y63" s="24">
        <v>531</v>
      </c>
      <c r="Z63" s="24">
        <v>0</v>
      </c>
      <c r="AA63" s="24"/>
    </row>
    <row r="64" spans="1:27" x14ac:dyDescent="0.25">
      <c r="A64" t="s">
        <v>864</v>
      </c>
      <c r="B64" t="s">
        <v>106</v>
      </c>
      <c r="J64" t="s">
        <v>432</v>
      </c>
      <c r="K64" s="22"/>
      <c r="L64" s="22"/>
      <c r="M64" s="25" t="s">
        <v>538</v>
      </c>
      <c r="N64" s="22"/>
      <c r="O64" s="22"/>
      <c r="P64" s="22"/>
      <c r="R64" s="24">
        <v>61</v>
      </c>
      <c r="S64" s="23" t="s">
        <v>392</v>
      </c>
      <c r="T64" s="26"/>
      <c r="U64" s="24">
        <v>0</v>
      </c>
      <c r="V64" s="24">
        <v>0</v>
      </c>
      <c r="W64" s="24">
        <v>0</v>
      </c>
      <c r="X64" s="24">
        <v>0</v>
      </c>
      <c r="Y64" s="24">
        <v>0</v>
      </c>
      <c r="Z64" s="24">
        <v>0</v>
      </c>
      <c r="AA64" s="24"/>
    </row>
    <row r="65" spans="1:27" x14ac:dyDescent="0.25">
      <c r="A65" t="s">
        <v>865</v>
      </c>
      <c r="B65" t="s">
        <v>108</v>
      </c>
      <c r="J65" t="s">
        <v>432</v>
      </c>
      <c r="K65" s="22"/>
      <c r="L65" s="22"/>
      <c r="M65" s="25" t="s">
        <v>539</v>
      </c>
      <c r="N65" s="22"/>
      <c r="O65" s="22"/>
      <c r="P65" s="22"/>
      <c r="R65" s="24">
        <v>62</v>
      </c>
      <c r="S65" s="23" t="s">
        <v>394</v>
      </c>
      <c r="T65" s="26"/>
      <c r="U65" s="24">
        <v>0</v>
      </c>
      <c r="V65" s="24">
        <v>0</v>
      </c>
      <c r="W65" s="24">
        <v>0</v>
      </c>
      <c r="X65" s="24">
        <v>0</v>
      </c>
      <c r="Y65" s="24">
        <v>0</v>
      </c>
      <c r="Z65" s="24">
        <v>0</v>
      </c>
      <c r="AA65" s="24"/>
    </row>
    <row r="66" spans="1:27" x14ac:dyDescent="0.25">
      <c r="A66" t="s">
        <v>866</v>
      </c>
      <c r="B66" t="s">
        <v>110</v>
      </c>
      <c r="J66" t="s">
        <v>432</v>
      </c>
      <c r="K66" s="22">
        <v>44</v>
      </c>
      <c r="L66" s="22" t="s">
        <v>350</v>
      </c>
      <c r="M66" s="25" t="s">
        <v>540</v>
      </c>
      <c r="N66" s="22"/>
      <c r="O66" s="22"/>
      <c r="P66" s="22"/>
      <c r="R66" s="24">
        <v>63</v>
      </c>
      <c r="S66" s="23" t="s">
        <v>396</v>
      </c>
      <c r="T66" s="26"/>
      <c r="U66" s="24">
        <v>0</v>
      </c>
      <c r="V66" s="24">
        <v>0</v>
      </c>
      <c r="W66" s="24">
        <v>0</v>
      </c>
      <c r="X66" s="24">
        <v>0</v>
      </c>
      <c r="Y66" s="24">
        <v>0</v>
      </c>
      <c r="Z66" s="24">
        <v>0</v>
      </c>
      <c r="AA66" s="24"/>
    </row>
    <row r="67" spans="1:27" x14ac:dyDescent="0.25">
      <c r="A67" t="s">
        <v>867</v>
      </c>
      <c r="B67" t="s">
        <v>112</v>
      </c>
      <c r="J67" t="s">
        <v>432</v>
      </c>
      <c r="K67" s="22">
        <v>45</v>
      </c>
      <c r="L67" s="22" t="s">
        <v>353</v>
      </c>
      <c r="M67" s="25" t="s">
        <v>541</v>
      </c>
      <c r="N67" s="22"/>
      <c r="O67" s="22"/>
      <c r="P67" s="22"/>
      <c r="R67" s="24">
        <v>64</v>
      </c>
      <c r="S67" s="23" t="s">
        <v>542</v>
      </c>
      <c r="T67" s="26"/>
      <c r="U67" s="24">
        <v>0</v>
      </c>
      <c r="V67" s="24">
        <v>0</v>
      </c>
      <c r="W67" s="24">
        <v>0</v>
      </c>
      <c r="X67" s="24">
        <v>0</v>
      </c>
      <c r="Y67" s="24">
        <v>0</v>
      </c>
      <c r="Z67" s="24">
        <v>0</v>
      </c>
      <c r="AA67" s="24"/>
    </row>
    <row r="68" spans="1:27" x14ac:dyDescent="0.25">
      <c r="A68" t="s">
        <v>868</v>
      </c>
      <c r="B68" t="s">
        <v>114</v>
      </c>
      <c r="J68" t="s">
        <v>432</v>
      </c>
      <c r="K68" s="22"/>
      <c r="L68" s="22"/>
      <c r="M68" s="25" t="s">
        <v>543</v>
      </c>
      <c r="N68" s="22"/>
      <c r="O68" s="22"/>
      <c r="P68" s="22"/>
      <c r="R68" s="24">
        <v>65</v>
      </c>
      <c r="S68" s="23" t="s">
        <v>544</v>
      </c>
      <c r="T68" s="26"/>
      <c r="U68" s="24">
        <v>5524</v>
      </c>
      <c r="V68" s="24">
        <v>50</v>
      </c>
      <c r="W68" s="24">
        <v>1366</v>
      </c>
      <c r="X68" s="24">
        <v>1098</v>
      </c>
      <c r="Y68" s="24">
        <v>1650</v>
      </c>
      <c r="Z68" s="24">
        <v>0</v>
      </c>
      <c r="AA68" s="24"/>
    </row>
    <row r="69" spans="1:27" x14ac:dyDescent="0.25">
      <c r="A69" t="s">
        <v>869</v>
      </c>
      <c r="B69" t="s">
        <v>401</v>
      </c>
      <c r="J69" t="s">
        <v>432</v>
      </c>
      <c r="K69" s="22"/>
      <c r="L69" s="22"/>
      <c r="M69" s="25" t="s">
        <v>545</v>
      </c>
      <c r="N69" s="22"/>
      <c r="O69" s="22"/>
      <c r="P69" s="22"/>
      <c r="R69" s="24">
        <v>66</v>
      </c>
      <c r="S69" s="23" t="s">
        <v>546</v>
      </c>
      <c r="T69" s="26"/>
      <c r="U69" s="24">
        <v>5524</v>
      </c>
      <c r="V69" s="24">
        <v>50</v>
      </c>
      <c r="W69" s="24">
        <v>1366</v>
      </c>
      <c r="X69" s="24">
        <v>1098</v>
      </c>
      <c r="Y69" s="24">
        <v>1650</v>
      </c>
      <c r="Z69" s="24">
        <v>0</v>
      </c>
      <c r="AA69" s="27"/>
    </row>
    <row r="70" spans="1:27" x14ac:dyDescent="0.25">
      <c r="A70" t="s">
        <v>870</v>
      </c>
      <c r="B70" t="s">
        <v>871</v>
      </c>
      <c r="J70" t="s">
        <v>432</v>
      </c>
      <c r="K70" s="22"/>
      <c r="L70" s="22"/>
      <c r="M70" s="25" t="s">
        <v>547</v>
      </c>
      <c r="N70" s="22"/>
      <c r="O70" s="22"/>
      <c r="P70" s="22"/>
      <c r="R70" s="24">
        <v>67</v>
      </c>
      <c r="S70" s="23" t="s">
        <v>404</v>
      </c>
      <c r="T70" s="26"/>
      <c r="U70" s="24">
        <v>6177</v>
      </c>
      <c r="V70" s="24">
        <v>66</v>
      </c>
      <c r="W70" s="24">
        <v>1536</v>
      </c>
      <c r="X70" s="24">
        <v>1284</v>
      </c>
      <c r="Y70" s="24">
        <v>1284</v>
      </c>
      <c r="Z70" s="24">
        <v>0</v>
      </c>
      <c r="AA70" s="27"/>
    </row>
    <row r="71" spans="1:27" x14ac:dyDescent="0.25">
      <c r="A71" t="s">
        <v>872</v>
      </c>
      <c r="B71" t="s">
        <v>873</v>
      </c>
      <c r="J71" t="s">
        <v>432</v>
      </c>
      <c r="K71" s="22"/>
      <c r="L71" s="22"/>
      <c r="M71" s="25" t="s">
        <v>548</v>
      </c>
      <c r="N71" s="22"/>
      <c r="O71" s="22"/>
      <c r="P71" s="22"/>
      <c r="R71" s="24">
        <v>68</v>
      </c>
      <c r="S71" s="23" t="s">
        <v>549</v>
      </c>
      <c r="T71" s="26"/>
      <c r="U71" s="24">
        <v>2807</v>
      </c>
      <c r="V71" s="24">
        <v>19</v>
      </c>
      <c r="W71" s="24">
        <v>650</v>
      </c>
      <c r="X71" s="24">
        <v>551</v>
      </c>
      <c r="Y71" s="24">
        <v>1653</v>
      </c>
      <c r="Z71" s="24">
        <v>0</v>
      </c>
      <c r="AA71" s="24"/>
    </row>
    <row r="72" spans="1:27" x14ac:dyDescent="0.25">
      <c r="A72" t="s">
        <v>874</v>
      </c>
      <c r="B72" t="s">
        <v>875</v>
      </c>
      <c r="J72" t="s">
        <v>432</v>
      </c>
      <c r="K72" s="22"/>
      <c r="L72" s="22"/>
      <c r="M72" s="25" t="s">
        <v>550</v>
      </c>
      <c r="N72" s="22"/>
      <c r="O72" s="22"/>
      <c r="P72" s="22"/>
      <c r="R72" s="24">
        <v>69</v>
      </c>
      <c r="S72" s="23" t="s">
        <v>551</v>
      </c>
      <c r="T72" s="26"/>
      <c r="U72" s="24">
        <v>2807</v>
      </c>
      <c r="V72" s="24">
        <v>19</v>
      </c>
      <c r="W72" s="24">
        <v>650</v>
      </c>
      <c r="X72" s="24">
        <v>551</v>
      </c>
      <c r="Y72" s="24">
        <v>1653</v>
      </c>
      <c r="Z72" s="24">
        <v>0</v>
      </c>
      <c r="AA72" s="27"/>
    </row>
    <row r="73" spans="1:27" x14ac:dyDescent="0.25">
      <c r="A73" t="s">
        <v>876</v>
      </c>
      <c r="B73" t="s">
        <v>409</v>
      </c>
      <c r="J73" t="s">
        <v>432</v>
      </c>
      <c r="K73" s="22"/>
      <c r="L73" s="22"/>
      <c r="M73" s="25" t="s">
        <v>552</v>
      </c>
      <c r="N73" s="22"/>
      <c r="O73" s="22"/>
      <c r="P73" s="22"/>
      <c r="R73" s="24">
        <v>70</v>
      </c>
      <c r="S73" s="23" t="s">
        <v>553</v>
      </c>
      <c r="T73" s="26"/>
      <c r="U73" s="24">
        <v>7195</v>
      </c>
      <c r="V73" s="24">
        <v>100</v>
      </c>
      <c r="W73" s="24">
        <v>1730</v>
      </c>
      <c r="X73" s="24">
        <v>1425</v>
      </c>
      <c r="Y73" s="24">
        <v>858</v>
      </c>
      <c r="Z73" s="24">
        <v>0</v>
      </c>
      <c r="AA73" s="24"/>
    </row>
    <row r="74" spans="1:27" x14ac:dyDescent="0.25">
      <c r="A74" t="s">
        <v>877</v>
      </c>
      <c r="B74" t="s">
        <v>878</v>
      </c>
      <c r="J74" t="s">
        <v>432</v>
      </c>
      <c r="K74" s="22"/>
      <c r="L74" s="22"/>
      <c r="M74" s="25" t="s">
        <v>554</v>
      </c>
      <c r="N74" s="22"/>
      <c r="O74" s="22"/>
      <c r="P74" s="22"/>
      <c r="R74" s="24">
        <v>71</v>
      </c>
      <c r="S74" s="23" t="s">
        <v>555</v>
      </c>
      <c r="T74" s="26"/>
      <c r="U74" s="24">
        <v>4464</v>
      </c>
      <c r="V74" s="24">
        <v>20</v>
      </c>
      <c r="W74" s="24">
        <v>1092</v>
      </c>
      <c r="X74" s="24">
        <v>924</v>
      </c>
      <c r="Y74" s="24">
        <v>693</v>
      </c>
      <c r="Z74" s="24">
        <v>0</v>
      </c>
      <c r="AA74" s="24"/>
    </row>
    <row r="75" spans="1:27" x14ac:dyDescent="0.25">
      <c r="A75" t="s">
        <v>879</v>
      </c>
      <c r="B75" t="s">
        <v>880</v>
      </c>
      <c r="J75" t="s">
        <v>432</v>
      </c>
      <c r="K75" s="22"/>
      <c r="L75" s="22"/>
      <c r="M75" s="22" t="s">
        <v>556</v>
      </c>
      <c r="N75" s="22"/>
      <c r="O75" s="22"/>
      <c r="P75" s="22"/>
      <c r="R75" s="24">
        <v>72</v>
      </c>
      <c r="S75" s="23" t="s">
        <v>415</v>
      </c>
      <c r="T75" s="26"/>
      <c r="U75" s="24">
        <v>4464</v>
      </c>
      <c r="V75" s="24">
        <v>20</v>
      </c>
      <c r="W75" s="24">
        <v>1092</v>
      </c>
      <c r="X75" s="24">
        <v>924</v>
      </c>
      <c r="Y75" s="24">
        <v>693</v>
      </c>
      <c r="Z75" s="24">
        <v>0</v>
      </c>
      <c r="AA75" s="24"/>
    </row>
    <row r="76" spans="1:27" x14ac:dyDescent="0.25">
      <c r="A76" t="s">
        <v>881</v>
      </c>
      <c r="B76" t="s">
        <v>882</v>
      </c>
      <c r="J76" t="s">
        <v>432</v>
      </c>
      <c r="K76" s="22"/>
      <c r="L76" s="22"/>
      <c r="M76" s="22" t="s">
        <v>557</v>
      </c>
      <c r="N76" s="22"/>
      <c r="O76" s="22"/>
      <c r="P76" s="22"/>
      <c r="R76" s="24">
        <v>73</v>
      </c>
      <c r="S76" s="23" t="s">
        <v>558</v>
      </c>
      <c r="T76" s="26"/>
      <c r="U76" s="24">
        <v>0</v>
      </c>
      <c r="V76" s="24">
        <v>0</v>
      </c>
      <c r="W76" s="24">
        <v>0</v>
      </c>
      <c r="X76" s="24">
        <v>0</v>
      </c>
      <c r="Y76" s="24">
        <v>0</v>
      </c>
      <c r="Z76" s="24">
        <v>0</v>
      </c>
      <c r="AA76" s="24"/>
    </row>
    <row r="77" spans="1:27" x14ac:dyDescent="0.25">
      <c r="A77" t="s">
        <v>883</v>
      </c>
      <c r="B77" t="s">
        <v>884</v>
      </c>
      <c r="J77" t="s">
        <v>432</v>
      </c>
      <c r="K77" s="22"/>
      <c r="L77" s="22"/>
      <c r="M77" s="22" t="s">
        <v>559</v>
      </c>
      <c r="N77" s="22"/>
      <c r="O77" s="22"/>
      <c r="P77" s="22"/>
      <c r="R77" s="24">
        <v>74</v>
      </c>
      <c r="S77" s="23" t="s">
        <v>419</v>
      </c>
      <c r="T77" s="26"/>
      <c r="U77" s="24">
        <v>51683</v>
      </c>
      <c r="V77" s="24">
        <v>240</v>
      </c>
      <c r="W77" s="24">
        <v>14312</v>
      </c>
      <c r="X77" s="24">
        <v>10366</v>
      </c>
      <c r="Y77" s="24">
        <v>10959</v>
      </c>
      <c r="Z77" s="24">
        <v>5</v>
      </c>
      <c r="AA77" s="27"/>
    </row>
    <row r="78" spans="1:27" x14ac:dyDescent="0.25">
      <c r="A78" t="s">
        <v>885</v>
      </c>
      <c r="B78" t="s">
        <v>122</v>
      </c>
      <c r="J78" t="s">
        <v>432</v>
      </c>
      <c r="K78" s="22"/>
      <c r="L78" s="22"/>
      <c r="M78" s="22" t="s">
        <v>560</v>
      </c>
      <c r="N78" s="22"/>
      <c r="O78" s="22"/>
      <c r="P78" s="22"/>
      <c r="R78" s="24">
        <v>75</v>
      </c>
      <c r="S78" s="23" t="s">
        <v>422</v>
      </c>
      <c r="T78" s="26"/>
      <c r="U78" s="24">
        <v>4464</v>
      </c>
      <c r="V78" s="24">
        <v>20</v>
      </c>
      <c r="W78" s="24">
        <v>1092</v>
      </c>
      <c r="X78" s="24">
        <v>924</v>
      </c>
      <c r="Y78" s="24">
        <v>693</v>
      </c>
      <c r="Z78" s="24">
        <v>0</v>
      </c>
      <c r="AA78" s="24"/>
    </row>
    <row r="79" spans="1:27" x14ac:dyDescent="0.25">
      <c r="A79" t="s">
        <v>886</v>
      </c>
      <c r="B79" t="s">
        <v>124</v>
      </c>
      <c r="J79" t="s">
        <v>432</v>
      </c>
      <c r="K79" s="22"/>
      <c r="L79" s="22"/>
      <c r="M79" s="22" t="s">
        <v>561</v>
      </c>
      <c r="N79" s="22"/>
      <c r="O79" s="22"/>
      <c r="P79" s="22"/>
      <c r="R79" s="24">
        <v>76</v>
      </c>
      <c r="S79" s="23" t="s">
        <v>423</v>
      </c>
      <c r="T79" s="26"/>
      <c r="U79" s="24">
        <v>4464</v>
      </c>
      <c r="V79" s="24">
        <v>20</v>
      </c>
      <c r="W79" s="24">
        <v>1092</v>
      </c>
      <c r="X79" s="24">
        <v>924</v>
      </c>
      <c r="Y79" s="24">
        <v>693</v>
      </c>
      <c r="Z79" s="24">
        <v>0</v>
      </c>
      <c r="AA79" s="24"/>
    </row>
    <row r="80" spans="1:27" x14ac:dyDescent="0.25">
      <c r="A80" t="s">
        <v>887</v>
      </c>
      <c r="B80" t="s">
        <v>126</v>
      </c>
      <c r="J80" t="s">
        <v>432</v>
      </c>
      <c r="K80" s="22">
        <v>46</v>
      </c>
      <c r="L80" s="22" t="s">
        <v>356</v>
      </c>
      <c r="M80" s="22" t="s">
        <v>562</v>
      </c>
      <c r="N80" s="22"/>
      <c r="O80" s="22"/>
      <c r="P80" s="22"/>
      <c r="R80" s="24">
        <v>77</v>
      </c>
      <c r="S80" s="23" t="s">
        <v>424</v>
      </c>
      <c r="T80" s="26"/>
      <c r="U80" s="24">
        <v>2427</v>
      </c>
      <c r="V80" s="24">
        <v>25</v>
      </c>
      <c r="W80" s="24">
        <v>634</v>
      </c>
      <c r="X80" s="24">
        <v>499</v>
      </c>
      <c r="Y80" s="24">
        <v>1500</v>
      </c>
      <c r="Z80" s="24">
        <v>0</v>
      </c>
      <c r="AA80" s="27"/>
    </row>
    <row r="81" spans="1:27" x14ac:dyDescent="0.25">
      <c r="A81" t="s">
        <v>888</v>
      </c>
      <c r="B81" t="s">
        <v>421</v>
      </c>
      <c r="J81" t="s">
        <v>432</v>
      </c>
      <c r="K81" s="22">
        <v>47</v>
      </c>
      <c r="L81" s="22" t="s">
        <v>359</v>
      </c>
      <c r="M81" s="25" t="s">
        <v>563</v>
      </c>
      <c r="N81" s="22"/>
      <c r="O81" s="22"/>
      <c r="P81" s="22"/>
      <c r="R81" s="24">
        <v>78</v>
      </c>
      <c r="S81" s="23" t="s">
        <v>564</v>
      </c>
      <c r="T81" s="26"/>
      <c r="U81" s="24">
        <v>3621</v>
      </c>
      <c r="V81" s="24">
        <v>32</v>
      </c>
      <c r="W81" s="24">
        <v>876</v>
      </c>
      <c r="X81" s="24">
        <v>716</v>
      </c>
      <c r="Y81" s="24">
        <v>2151</v>
      </c>
      <c r="Z81" s="24">
        <v>0</v>
      </c>
      <c r="AA81" s="27"/>
    </row>
    <row r="82" spans="1:27" x14ac:dyDescent="0.25">
      <c r="A82" t="s">
        <v>889</v>
      </c>
      <c r="B82" t="s">
        <v>129</v>
      </c>
      <c r="J82" t="s">
        <v>432</v>
      </c>
      <c r="K82" s="22"/>
      <c r="L82" s="22"/>
      <c r="M82" s="22" t="s">
        <v>565</v>
      </c>
      <c r="N82" s="22"/>
      <c r="O82" s="22"/>
      <c r="P82" s="22"/>
      <c r="R82" s="24">
        <v>79</v>
      </c>
      <c r="S82" s="23" t="s">
        <v>566</v>
      </c>
      <c r="T82" s="26"/>
      <c r="U82" s="24">
        <v>13452</v>
      </c>
      <c r="V82" s="24">
        <v>96</v>
      </c>
      <c r="W82" s="24">
        <v>3508</v>
      </c>
      <c r="X82" s="24">
        <v>2749</v>
      </c>
      <c r="Y82" s="24">
        <v>5091</v>
      </c>
      <c r="Z82" s="24">
        <v>0</v>
      </c>
      <c r="AA82" s="27"/>
    </row>
    <row r="83" spans="1:27" x14ac:dyDescent="0.25">
      <c r="A83" t="s">
        <v>890</v>
      </c>
      <c r="B83" t="s">
        <v>131</v>
      </c>
      <c r="J83" t="s">
        <v>432</v>
      </c>
      <c r="K83" s="22"/>
      <c r="L83" s="22"/>
      <c r="M83" s="22" t="s">
        <v>567</v>
      </c>
      <c r="N83" s="22"/>
      <c r="O83" s="22"/>
      <c r="P83" s="22"/>
      <c r="R83" s="24">
        <v>80</v>
      </c>
      <c r="S83" s="23" t="s">
        <v>568</v>
      </c>
      <c r="T83" s="26"/>
      <c r="U83" s="24">
        <v>11621</v>
      </c>
      <c r="V83" s="24">
        <v>105</v>
      </c>
      <c r="W83" s="24">
        <v>3133</v>
      </c>
      <c r="X83" s="24">
        <v>2339</v>
      </c>
      <c r="Y83" s="24">
        <v>3508.5</v>
      </c>
      <c r="Z83" s="24">
        <v>0</v>
      </c>
      <c r="AA83" s="27"/>
    </row>
    <row r="84" spans="1:27" x14ac:dyDescent="0.25">
      <c r="A84" t="s">
        <v>891</v>
      </c>
      <c r="B84" t="s">
        <v>425</v>
      </c>
      <c r="J84" t="s">
        <v>432</v>
      </c>
      <c r="K84" s="22"/>
      <c r="L84" s="22"/>
      <c r="M84" s="22" t="s">
        <v>569</v>
      </c>
      <c r="N84" s="22"/>
      <c r="O84" s="22"/>
      <c r="P84" s="22"/>
      <c r="R84" s="24">
        <v>81</v>
      </c>
      <c r="S84" s="23" t="s">
        <v>570</v>
      </c>
      <c r="T84" s="26"/>
      <c r="U84" s="24">
        <v>10636</v>
      </c>
      <c r="V84" s="24">
        <v>74</v>
      </c>
      <c r="W84" s="24">
        <v>2784</v>
      </c>
      <c r="X84" s="24">
        <v>2126</v>
      </c>
      <c r="Y84" s="24">
        <v>3189</v>
      </c>
      <c r="Z84" s="24">
        <v>0</v>
      </c>
      <c r="AA84" s="24"/>
    </row>
    <row r="85" spans="1:27" x14ac:dyDescent="0.25">
      <c r="A85" t="s">
        <v>892</v>
      </c>
      <c r="B85" t="s">
        <v>893</v>
      </c>
      <c r="J85" t="s">
        <v>432</v>
      </c>
      <c r="K85" s="22">
        <v>48</v>
      </c>
      <c r="L85" s="22" t="s">
        <v>362</v>
      </c>
      <c r="M85" s="22" t="s">
        <v>571</v>
      </c>
      <c r="N85" s="22"/>
      <c r="O85" s="22"/>
      <c r="P85" s="22"/>
      <c r="R85" s="24">
        <v>82</v>
      </c>
      <c r="S85" s="23" t="s">
        <v>572</v>
      </c>
      <c r="T85" s="26"/>
      <c r="U85" s="24">
        <v>4490</v>
      </c>
      <c r="V85" s="24">
        <v>31</v>
      </c>
      <c r="W85" s="24">
        <v>1182</v>
      </c>
      <c r="X85" s="24">
        <v>908</v>
      </c>
      <c r="Y85" s="24">
        <v>2724</v>
      </c>
      <c r="Z85" s="24">
        <v>0</v>
      </c>
      <c r="AA85" s="27"/>
    </row>
    <row r="86" spans="1:27" x14ac:dyDescent="0.25">
      <c r="A86" t="s">
        <v>894</v>
      </c>
      <c r="B86" t="s">
        <v>895</v>
      </c>
      <c r="J86" t="s">
        <v>432</v>
      </c>
      <c r="K86" s="22"/>
      <c r="L86" s="22"/>
      <c r="M86" s="22" t="s">
        <v>665</v>
      </c>
      <c r="N86" s="22"/>
      <c r="O86" s="22"/>
      <c r="P86" s="22"/>
      <c r="R86" s="24">
        <v>83</v>
      </c>
      <c r="S86" s="23" t="s">
        <v>573</v>
      </c>
      <c r="T86" s="26"/>
      <c r="U86" s="24">
        <v>4490</v>
      </c>
      <c r="V86" s="24">
        <v>31</v>
      </c>
      <c r="W86" s="24">
        <v>1182</v>
      </c>
      <c r="X86" s="24">
        <v>908</v>
      </c>
      <c r="Y86" s="24">
        <v>2724</v>
      </c>
      <c r="Z86" s="24">
        <v>0</v>
      </c>
      <c r="AA86" s="27"/>
    </row>
    <row r="87" spans="1:27" x14ac:dyDescent="0.25">
      <c r="A87" t="s">
        <v>896</v>
      </c>
      <c r="B87" t="s">
        <v>428</v>
      </c>
      <c r="J87" t="s">
        <v>432</v>
      </c>
      <c r="K87" s="22">
        <v>49</v>
      </c>
      <c r="L87" s="22" t="s">
        <v>364</v>
      </c>
      <c r="M87" s="22" t="s">
        <v>574</v>
      </c>
      <c r="N87" s="22"/>
      <c r="O87" s="22"/>
      <c r="P87" s="22"/>
      <c r="R87" s="24">
        <v>84</v>
      </c>
      <c r="S87" s="23" t="s">
        <v>575</v>
      </c>
      <c r="T87" s="26"/>
      <c r="U87" s="24">
        <v>12890</v>
      </c>
      <c r="V87" s="24">
        <v>88</v>
      </c>
      <c r="W87" s="24">
        <v>3411</v>
      </c>
      <c r="X87" s="24">
        <v>2552</v>
      </c>
      <c r="Y87" s="24">
        <v>7656</v>
      </c>
      <c r="Z87" s="24">
        <v>0</v>
      </c>
      <c r="AA87" s="27"/>
    </row>
    <row r="88" spans="1:27" x14ac:dyDescent="0.25">
      <c r="A88" t="s">
        <v>897</v>
      </c>
      <c r="B88" t="s">
        <v>898</v>
      </c>
      <c r="J88" t="s">
        <v>432</v>
      </c>
      <c r="K88" s="22"/>
      <c r="L88" s="22"/>
      <c r="M88" s="22" t="s">
        <v>576</v>
      </c>
      <c r="N88" s="22"/>
      <c r="O88" s="22"/>
      <c r="P88" s="22"/>
      <c r="R88" s="24">
        <v>85</v>
      </c>
      <c r="S88" s="23" t="s">
        <v>577</v>
      </c>
      <c r="T88" s="26"/>
      <c r="U88" s="24">
        <v>2165</v>
      </c>
      <c r="V88" s="24">
        <v>26</v>
      </c>
      <c r="W88" s="24">
        <v>547</v>
      </c>
      <c r="X88" s="24">
        <v>432</v>
      </c>
      <c r="Y88" s="24">
        <v>1296</v>
      </c>
      <c r="Z88" s="24">
        <v>0</v>
      </c>
      <c r="AA88" s="27"/>
    </row>
    <row r="89" spans="1:27" x14ac:dyDescent="0.25">
      <c r="A89" t="s">
        <v>899</v>
      </c>
      <c r="B89" t="s">
        <v>900</v>
      </c>
      <c r="J89" t="s">
        <v>432</v>
      </c>
      <c r="K89" s="22"/>
      <c r="L89" s="22"/>
      <c r="M89" s="22" t="s">
        <v>578</v>
      </c>
      <c r="N89" s="22"/>
      <c r="O89" s="22"/>
      <c r="P89" s="22"/>
      <c r="R89" s="24">
        <v>86</v>
      </c>
      <c r="S89" s="23" t="s">
        <v>579</v>
      </c>
      <c r="T89" s="26"/>
      <c r="U89" s="24">
        <v>11523</v>
      </c>
      <c r="V89" s="24">
        <v>85</v>
      </c>
      <c r="W89" s="24">
        <v>2999</v>
      </c>
      <c r="X89" s="24">
        <v>2358</v>
      </c>
      <c r="Y89" s="24">
        <v>3918</v>
      </c>
      <c r="Z89" s="24">
        <v>1</v>
      </c>
      <c r="AA89" s="27"/>
    </row>
    <row r="90" spans="1:27" x14ac:dyDescent="0.25">
      <c r="A90" t="s">
        <v>901</v>
      </c>
      <c r="B90" t="s">
        <v>436</v>
      </c>
      <c r="J90" t="s">
        <v>432</v>
      </c>
      <c r="K90" s="22"/>
      <c r="L90" s="22"/>
      <c r="M90" s="22" t="s">
        <v>580</v>
      </c>
      <c r="N90" s="22"/>
      <c r="O90" s="22"/>
      <c r="P90" s="22"/>
      <c r="R90" s="24">
        <v>87</v>
      </c>
      <c r="S90" s="23" t="s">
        <v>581</v>
      </c>
      <c r="T90" s="26"/>
      <c r="U90" s="24">
        <v>4490</v>
      </c>
      <c r="V90" s="24">
        <v>31</v>
      </c>
      <c r="W90" s="24">
        <v>1182</v>
      </c>
      <c r="X90" s="24">
        <v>908</v>
      </c>
      <c r="Y90" s="24">
        <v>2724</v>
      </c>
      <c r="Z90" s="24">
        <v>0</v>
      </c>
      <c r="AA90" s="27"/>
    </row>
    <row r="91" spans="1:27" x14ac:dyDescent="0.25">
      <c r="A91" t="s">
        <v>902</v>
      </c>
      <c r="B91" t="s">
        <v>149</v>
      </c>
      <c r="J91" t="s">
        <v>432</v>
      </c>
      <c r="K91" s="22">
        <v>50</v>
      </c>
      <c r="L91" s="22" t="s">
        <v>368</v>
      </c>
      <c r="M91" s="22" t="s">
        <v>582</v>
      </c>
      <c r="N91" s="22"/>
      <c r="O91" s="22"/>
      <c r="P91" s="22"/>
      <c r="R91" s="24">
        <v>88</v>
      </c>
      <c r="S91" s="23" t="s">
        <v>583</v>
      </c>
      <c r="T91" s="26"/>
      <c r="U91" s="24">
        <v>8425</v>
      </c>
      <c r="V91" s="24">
        <v>63</v>
      </c>
      <c r="W91" s="24">
        <v>2256</v>
      </c>
      <c r="X91" s="24">
        <v>1760</v>
      </c>
      <c r="Y91" s="24">
        <v>4317</v>
      </c>
      <c r="Z91" s="24">
        <v>0</v>
      </c>
      <c r="AA91" s="27"/>
    </row>
    <row r="92" spans="1:27" x14ac:dyDescent="0.25">
      <c r="A92" t="s">
        <v>903</v>
      </c>
      <c r="B92" t="s">
        <v>151</v>
      </c>
      <c r="D92" s="42" t="s">
        <v>690</v>
      </c>
      <c r="E92" s="42"/>
      <c r="F92" s="42"/>
      <c r="G92" s="42"/>
      <c r="H92" s="42"/>
      <c r="I92" s="42"/>
      <c r="J92" t="s">
        <v>432</v>
      </c>
      <c r="K92" s="22"/>
      <c r="L92" s="22"/>
      <c r="M92" s="22" t="s">
        <v>584</v>
      </c>
      <c r="N92" s="22"/>
      <c r="O92" s="22"/>
      <c r="P92" s="22"/>
      <c r="R92" s="24">
        <v>89</v>
      </c>
      <c r="S92" s="23" t="s">
        <v>585</v>
      </c>
      <c r="T92" s="26"/>
      <c r="U92" s="24">
        <v>4490</v>
      </c>
      <c r="V92" s="24">
        <v>31</v>
      </c>
      <c r="W92" s="24">
        <v>1182</v>
      </c>
      <c r="X92" s="24">
        <v>908</v>
      </c>
      <c r="Y92" s="24">
        <v>2724</v>
      </c>
      <c r="Z92" s="24">
        <v>0</v>
      </c>
      <c r="AA92" s="27"/>
    </row>
    <row r="93" spans="1:27" x14ac:dyDescent="0.25">
      <c r="A93" t="s">
        <v>904</v>
      </c>
      <c r="B93" t="s">
        <v>153</v>
      </c>
      <c r="D93" s="42" t="s">
        <v>691</v>
      </c>
      <c r="E93" s="42"/>
      <c r="F93" s="42"/>
      <c r="G93" s="42"/>
      <c r="H93" s="42"/>
      <c r="I93" s="42"/>
      <c r="J93" t="s">
        <v>432</v>
      </c>
      <c r="K93" s="22"/>
      <c r="L93" s="22"/>
      <c r="M93" s="22" t="s">
        <v>586</v>
      </c>
      <c r="N93" s="22"/>
      <c r="O93" s="22"/>
      <c r="P93" s="22"/>
      <c r="R93" s="24">
        <v>90</v>
      </c>
      <c r="S93" s="23" t="s">
        <v>587</v>
      </c>
      <c r="T93" s="26"/>
      <c r="U93" s="24">
        <v>13348</v>
      </c>
      <c r="V93" s="24">
        <v>94</v>
      </c>
      <c r="W93" s="24">
        <v>3505</v>
      </c>
      <c r="X93" s="24">
        <v>2740</v>
      </c>
      <c r="Y93" s="24">
        <v>5064</v>
      </c>
      <c r="Z93" s="24">
        <v>1</v>
      </c>
      <c r="AA93" s="27"/>
    </row>
    <row r="94" spans="1:27" x14ac:dyDescent="0.25">
      <c r="A94" t="s">
        <v>905</v>
      </c>
      <c r="B94" t="s">
        <v>155</v>
      </c>
      <c r="D94" s="42" t="s">
        <v>692</v>
      </c>
      <c r="E94" s="42"/>
      <c r="F94" s="42"/>
      <c r="G94" s="42"/>
      <c r="H94" s="42"/>
      <c r="I94" s="42"/>
      <c r="J94" t="s">
        <v>432</v>
      </c>
      <c r="K94" s="22"/>
      <c r="L94" s="22"/>
      <c r="M94" s="22" t="s">
        <v>588</v>
      </c>
      <c r="N94" s="22"/>
      <c r="O94" s="22"/>
      <c r="P94" s="22"/>
      <c r="R94" s="24">
        <v>91</v>
      </c>
      <c r="S94" s="23" t="s">
        <v>589</v>
      </c>
      <c r="T94" s="26"/>
      <c r="U94" s="24">
        <v>16499</v>
      </c>
      <c r="V94" s="24">
        <v>129</v>
      </c>
      <c r="W94" s="24">
        <v>4319</v>
      </c>
      <c r="X94" s="24">
        <v>3394</v>
      </c>
      <c r="Y94" s="24">
        <v>4695</v>
      </c>
      <c r="Z94" s="24">
        <v>1</v>
      </c>
      <c r="AA94" s="27"/>
    </row>
    <row r="95" spans="1:27" x14ac:dyDescent="0.25">
      <c r="J95" t="s">
        <v>432</v>
      </c>
      <c r="K95" s="22"/>
      <c r="L95" s="22"/>
      <c r="M95" s="22" t="s">
        <v>590</v>
      </c>
      <c r="N95" s="22"/>
      <c r="O95" s="22"/>
      <c r="P95" s="22"/>
      <c r="R95" s="24">
        <v>92</v>
      </c>
      <c r="S95" s="23" t="s">
        <v>591</v>
      </c>
      <c r="T95" s="26"/>
      <c r="U95" s="24">
        <v>0</v>
      </c>
      <c r="V95" s="24">
        <v>0</v>
      </c>
      <c r="W95" s="24">
        <v>0</v>
      </c>
      <c r="X95" s="24">
        <v>0</v>
      </c>
      <c r="Y95" s="24">
        <v>0</v>
      </c>
      <c r="Z95" s="24">
        <v>0</v>
      </c>
      <c r="AA95" s="24"/>
    </row>
    <row r="96" spans="1:27" x14ac:dyDescent="0.25">
      <c r="J96" t="s">
        <v>432</v>
      </c>
      <c r="K96" s="22"/>
      <c r="L96" s="22"/>
      <c r="M96" s="22" t="s">
        <v>592</v>
      </c>
      <c r="N96" s="22"/>
      <c r="O96" s="22"/>
      <c r="P96" s="22"/>
      <c r="R96" s="24">
        <v>93</v>
      </c>
      <c r="S96" s="26" t="s">
        <v>593</v>
      </c>
      <c r="T96" s="26"/>
      <c r="U96" s="24">
        <v>0</v>
      </c>
      <c r="V96" s="24">
        <v>0</v>
      </c>
      <c r="W96" s="24">
        <v>0</v>
      </c>
      <c r="X96" s="24">
        <v>0</v>
      </c>
      <c r="Y96" s="24">
        <v>0</v>
      </c>
      <c r="Z96" s="24">
        <v>0</v>
      </c>
      <c r="AA96" s="24"/>
    </row>
    <row r="97" spans="11:27" x14ac:dyDescent="0.25">
      <c r="K97" s="22"/>
      <c r="L97" s="22"/>
      <c r="M97" s="22" t="s">
        <v>594</v>
      </c>
      <c r="N97" s="22"/>
      <c r="O97" s="22"/>
      <c r="P97" s="22"/>
      <c r="R97" s="24">
        <v>94</v>
      </c>
      <c r="S97" s="26" t="s">
        <v>595</v>
      </c>
      <c r="T97" s="26"/>
      <c r="U97" s="24">
        <v>0</v>
      </c>
      <c r="V97" s="24">
        <v>0</v>
      </c>
      <c r="W97" s="24">
        <v>0</v>
      </c>
      <c r="X97" s="24">
        <v>0</v>
      </c>
      <c r="Y97" s="24">
        <v>0</v>
      </c>
      <c r="Z97" s="24">
        <v>0</v>
      </c>
      <c r="AA97" s="24"/>
    </row>
    <row r="98" spans="11:27" x14ac:dyDescent="0.25">
      <c r="K98" s="22"/>
      <c r="L98" s="22"/>
      <c r="M98" s="22" t="s">
        <v>596</v>
      </c>
      <c r="N98" s="22"/>
      <c r="O98" s="22"/>
      <c r="P98" s="22"/>
      <c r="R98" s="24">
        <v>95</v>
      </c>
      <c r="S98" s="26" t="s">
        <v>597</v>
      </c>
      <c r="T98" s="26"/>
      <c r="U98" s="24">
        <v>0</v>
      </c>
      <c r="V98" s="24">
        <v>0</v>
      </c>
      <c r="W98" s="24">
        <v>0</v>
      </c>
      <c r="X98" s="24">
        <v>0</v>
      </c>
      <c r="Y98" s="24">
        <v>0</v>
      </c>
      <c r="Z98" s="24">
        <v>0</v>
      </c>
      <c r="AA98" s="24"/>
    </row>
    <row r="99" spans="11:27" x14ac:dyDescent="0.25">
      <c r="K99" s="22">
        <v>51</v>
      </c>
      <c r="L99" s="22" t="s">
        <v>371</v>
      </c>
      <c r="M99" s="22" t="s">
        <v>598</v>
      </c>
      <c r="N99" s="22"/>
      <c r="O99" s="22"/>
      <c r="P99" s="22"/>
    </row>
    <row r="100" spans="11:27" x14ac:dyDescent="0.25">
      <c r="K100" s="22">
        <v>52</v>
      </c>
      <c r="L100" s="22" t="s">
        <v>373</v>
      </c>
      <c r="M100" s="22" t="s">
        <v>599</v>
      </c>
      <c r="N100" s="22"/>
      <c r="O100" s="22"/>
      <c r="P100" s="22"/>
    </row>
    <row r="101" spans="11:27" x14ac:dyDescent="0.25">
      <c r="K101" s="22"/>
      <c r="L101" s="22"/>
      <c r="M101" s="22" t="s">
        <v>600</v>
      </c>
      <c r="N101" s="22"/>
      <c r="O101" s="22"/>
      <c r="P101" s="22"/>
    </row>
    <row r="102" spans="11:27" x14ac:dyDescent="0.25">
      <c r="K102" s="22">
        <v>53</v>
      </c>
      <c r="L102" s="22" t="s">
        <v>376</v>
      </c>
      <c r="M102" s="22" t="s">
        <v>601</v>
      </c>
      <c r="N102" s="22"/>
      <c r="O102" s="22"/>
      <c r="P102" s="22"/>
    </row>
    <row r="103" spans="11:27" x14ac:dyDescent="0.25">
      <c r="K103" s="22">
        <v>54</v>
      </c>
      <c r="L103" s="22" t="s">
        <v>378</v>
      </c>
      <c r="M103" s="22" t="s">
        <v>602</v>
      </c>
      <c r="N103" s="22"/>
      <c r="O103" s="22"/>
      <c r="P103" s="22"/>
    </row>
    <row r="104" spans="11:27" x14ac:dyDescent="0.25">
      <c r="K104" s="22">
        <v>55</v>
      </c>
      <c r="L104" s="22" t="s">
        <v>380</v>
      </c>
      <c r="M104" s="22" t="s">
        <v>603</v>
      </c>
      <c r="N104" s="22"/>
      <c r="O104" s="22"/>
      <c r="P104" s="22"/>
    </row>
    <row r="105" spans="11:27" x14ac:dyDescent="0.25">
      <c r="K105" s="22">
        <v>56</v>
      </c>
      <c r="L105" s="22" t="s">
        <v>533</v>
      </c>
      <c r="M105" s="22" t="s">
        <v>604</v>
      </c>
      <c r="N105" s="22"/>
      <c r="O105" s="22"/>
      <c r="P105" s="22"/>
    </row>
    <row r="106" spans="11:27" x14ac:dyDescent="0.25">
      <c r="K106" s="22"/>
      <c r="L106" s="22"/>
      <c r="M106" s="22" t="s">
        <v>605</v>
      </c>
      <c r="N106" s="22"/>
      <c r="O106" s="22"/>
      <c r="P106" s="22"/>
    </row>
    <row r="107" spans="11:27" x14ac:dyDescent="0.25">
      <c r="K107" s="22">
        <v>57</v>
      </c>
      <c r="L107" s="22" t="s">
        <v>384</v>
      </c>
      <c r="M107" s="22" t="s">
        <v>606</v>
      </c>
      <c r="N107" s="22"/>
      <c r="O107" s="22"/>
      <c r="P107" s="22"/>
    </row>
    <row r="108" spans="11:27" x14ac:dyDescent="0.25">
      <c r="K108" s="22">
        <v>58</v>
      </c>
      <c r="L108" s="22" t="s">
        <v>385</v>
      </c>
      <c r="M108" s="22" t="s">
        <v>607</v>
      </c>
      <c r="N108" s="22"/>
      <c r="O108" s="22"/>
      <c r="P108" s="22"/>
    </row>
    <row r="109" spans="11:27" x14ac:dyDescent="0.25">
      <c r="K109" s="22">
        <v>59</v>
      </c>
      <c r="L109" s="22" t="s">
        <v>387</v>
      </c>
      <c r="M109" s="22" t="s">
        <v>608</v>
      </c>
      <c r="N109" s="22"/>
      <c r="O109" s="22"/>
      <c r="P109" s="22"/>
    </row>
    <row r="110" spans="11:27" x14ac:dyDescent="0.25">
      <c r="K110" s="22">
        <v>60</v>
      </c>
      <c r="L110" s="22" t="s">
        <v>389</v>
      </c>
      <c r="M110" s="25" t="s">
        <v>609</v>
      </c>
      <c r="N110" s="22"/>
      <c r="O110" s="22"/>
      <c r="P110" s="22"/>
    </row>
    <row r="111" spans="11:27" x14ac:dyDescent="0.25">
      <c r="K111" s="22">
        <v>61</v>
      </c>
      <c r="L111" s="22" t="s">
        <v>392</v>
      </c>
      <c r="M111" s="22" t="s">
        <v>607</v>
      </c>
      <c r="N111" s="22"/>
      <c r="O111" s="22"/>
      <c r="P111" s="22"/>
    </row>
    <row r="112" spans="11:27" x14ac:dyDescent="0.25">
      <c r="K112" s="22">
        <v>62</v>
      </c>
      <c r="L112" s="22" t="s">
        <v>394</v>
      </c>
      <c r="M112" s="22" t="s">
        <v>607</v>
      </c>
      <c r="N112" s="22"/>
      <c r="O112" s="22"/>
      <c r="P112" s="22"/>
    </row>
    <row r="113" spans="11:16" x14ac:dyDescent="0.25">
      <c r="K113" s="22">
        <v>63</v>
      </c>
      <c r="L113" s="22" t="s">
        <v>396</v>
      </c>
      <c r="M113" s="25" t="s">
        <v>610</v>
      </c>
      <c r="N113" s="22"/>
      <c r="O113" s="22"/>
      <c r="P113" s="22"/>
    </row>
    <row r="114" spans="11:16" x14ac:dyDescent="0.25">
      <c r="K114" s="22">
        <v>64</v>
      </c>
      <c r="L114" s="22" t="s">
        <v>542</v>
      </c>
      <c r="M114" s="25" t="s">
        <v>443</v>
      </c>
      <c r="N114" s="22"/>
      <c r="O114" s="22"/>
      <c r="P114" s="22"/>
    </row>
    <row r="115" spans="11:16" x14ac:dyDescent="0.25">
      <c r="K115" s="22">
        <v>65</v>
      </c>
      <c r="L115" s="22" t="s">
        <v>544</v>
      </c>
      <c r="M115" s="25" t="s">
        <v>661</v>
      </c>
      <c r="N115" s="22"/>
      <c r="O115" s="22"/>
      <c r="P115" s="22"/>
    </row>
    <row r="116" spans="11:16" x14ac:dyDescent="0.25">
      <c r="K116" s="22">
        <v>66</v>
      </c>
      <c r="L116" s="22" t="s">
        <v>546</v>
      </c>
      <c r="M116" s="25" t="s">
        <v>611</v>
      </c>
      <c r="N116" s="22"/>
      <c r="O116" s="22"/>
      <c r="P116" s="22"/>
    </row>
    <row r="117" spans="11:16" x14ac:dyDescent="0.25">
      <c r="K117" s="22">
        <v>67</v>
      </c>
      <c r="L117" s="22" t="s">
        <v>404</v>
      </c>
      <c r="M117" s="22" t="s">
        <v>612</v>
      </c>
      <c r="N117" s="22"/>
      <c r="O117" s="22"/>
      <c r="P117" s="22"/>
    </row>
    <row r="118" spans="11:16" x14ac:dyDescent="0.25">
      <c r="K118" s="22">
        <v>68</v>
      </c>
      <c r="L118" s="22" t="s">
        <v>549</v>
      </c>
      <c r="M118" s="22" t="s">
        <v>614</v>
      </c>
      <c r="N118" s="22"/>
      <c r="O118" s="22"/>
      <c r="P118" s="22"/>
    </row>
    <row r="119" spans="11:16" x14ac:dyDescent="0.25">
      <c r="K119" s="22">
        <v>69</v>
      </c>
      <c r="L119" s="22" t="s">
        <v>551</v>
      </c>
      <c r="M119" s="22" t="s">
        <v>613</v>
      </c>
      <c r="N119" s="22"/>
      <c r="O119" s="22"/>
      <c r="P119" s="22"/>
    </row>
    <row r="120" spans="11:16" x14ac:dyDescent="0.25">
      <c r="K120" s="22">
        <v>70</v>
      </c>
      <c r="L120" s="22" t="s">
        <v>553</v>
      </c>
      <c r="M120" s="22" t="s">
        <v>615</v>
      </c>
      <c r="N120" s="22"/>
      <c r="O120" s="22"/>
      <c r="P120" s="22"/>
    </row>
    <row r="121" spans="11:16" x14ac:dyDescent="0.25">
      <c r="K121" s="22">
        <v>71</v>
      </c>
      <c r="L121" s="22" t="s">
        <v>555</v>
      </c>
      <c r="M121" s="22" t="s">
        <v>616</v>
      </c>
      <c r="N121" s="22"/>
      <c r="O121" s="22"/>
      <c r="P121" s="22"/>
    </row>
    <row r="122" spans="11:16" x14ac:dyDescent="0.25">
      <c r="K122" s="22">
        <v>72</v>
      </c>
      <c r="L122" s="22" t="s">
        <v>415</v>
      </c>
      <c r="M122" s="22" t="s">
        <v>616</v>
      </c>
      <c r="N122" s="22"/>
      <c r="O122" s="22"/>
      <c r="P122" s="22"/>
    </row>
    <row r="123" spans="11:16" x14ac:dyDescent="0.25">
      <c r="K123" s="22">
        <v>73</v>
      </c>
      <c r="L123" s="22" t="s">
        <v>558</v>
      </c>
      <c r="M123" s="22" t="s">
        <v>617</v>
      </c>
      <c r="N123" s="22"/>
      <c r="O123" s="22"/>
      <c r="P123" s="22"/>
    </row>
    <row r="124" spans="11:16" x14ac:dyDescent="0.25">
      <c r="K124" s="22">
        <v>74</v>
      </c>
      <c r="L124" s="22" t="s">
        <v>419</v>
      </c>
      <c r="M124" s="22" t="s">
        <v>618</v>
      </c>
      <c r="N124" s="22"/>
      <c r="O124" s="22"/>
      <c r="P124" s="22"/>
    </row>
    <row r="125" spans="11:16" x14ac:dyDescent="0.25">
      <c r="K125" s="22"/>
      <c r="L125" s="22"/>
      <c r="M125" s="22" t="s">
        <v>619</v>
      </c>
      <c r="N125" s="22"/>
      <c r="O125" s="22"/>
      <c r="P125" s="22"/>
    </row>
    <row r="126" spans="11:16" x14ac:dyDescent="0.25">
      <c r="K126" s="22"/>
      <c r="L126" s="22"/>
      <c r="M126" s="22" t="s">
        <v>620</v>
      </c>
      <c r="N126" s="22"/>
      <c r="O126" s="22"/>
      <c r="P126" s="22"/>
    </row>
    <row r="127" spans="11:16" x14ac:dyDescent="0.25">
      <c r="K127" s="22"/>
      <c r="L127" s="22"/>
      <c r="M127" s="22" t="s">
        <v>621</v>
      </c>
      <c r="N127" s="22"/>
      <c r="O127" s="22"/>
      <c r="P127" s="22"/>
    </row>
    <row r="128" spans="11:16" x14ac:dyDescent="0.25">
      <c r="K128" s="22"/>
      <c r="L128" s="22"/>
      <c r="M128" s="22" t="s">
        <v>622</v>
      </c>
      <c r="N128" s="22"/>
      <c r="O128" s="22"/>
      <c r="P128" s="22"/>
    </row>
    <row r="129" spans="11:16" x14ac:dyDescent="0.25">
      <c r="K129" s="22"/>
      <c r="L129" s="22"/>
      <c r="M129" s="22" t="s">
        <v>623</v>
      </c>
      <c r="N129" s="22"/>
      <c r="O129" s="22"/>
      <c r="P129" s="22"/>
    </row>
    <row r="130" spans="11:16" x14ac:dyDescent="0.25">
      <c r="K130" s="22"/>
      <c r="L130" s="22"/>
      <c r="M130" s="22" t="s">
        <v>624</v>
      </c>
      <c r="N130" s="22"/>
      <c r="O130" s="22"/>
      <c r="P130" s="22"/>
    </row>
    <row r="131" spans="11:16" x14ac:dyDescent="0.25">
      <c r="K131" s="22"/>
      <c r="L131" s="22"/>
      <c r="M131" s="22" t="s">
        <v>625</v>
      </c>
      <c r="N131" s="22"/>
      <c r="O131" s="22"/>
      <c r="P131" s="22"/>
    </row>
    <row r="132" spans="11:16" x14ac:dyDescent="0.25">
      <c r="K132" s="22"/>
      <c r="L132" s="22"/>
      <c r="M132" s="22" t="s">
        <v>626</v>
      </c>
      <c r="N132" s="22"/>
      <c r="O132" s="22"/>
      <c r="P132" s="22"/>
    </row>
    <row r="133" spans="11:16" x14ac:dyDescent="0.25">
      <c r="K133" s="22"/>
      <c r="L133" s="22"/>
      <c r="M133" s="22" t="s">
        <v>627</v>
      </c>
      <c r="N133" s="22"/>
      <c r="O133" s="22"/>
      <c r="P133" s="22"/>
    </row>
    <row r="134" spans="11:16" x14ac:dyDescent="0.25">
      <c r="K134" s="22">
        <v>75</v>
      </c>
      <c r="L134" s="22" t="s">
        <v>422</v>
      </c>
      <c r="M134" s="22" t="s">
        <v>616</v>
      </c>
      <c r="N134" s="22"/>
      <c r="O134" s="22"/>
      <c r="P134" s="22"/>
    </row>
    <row r="135" spans="11:16" x14ac:dyDescent="0.25">
      <c r="K135" s="22">
        <v>76</v>
      </c>
      <c r="L135" s="22" t="s">
        <v>423</v>
      </c>
      <c r="M135" s="22" t="s">
        <v>616</v>
      </c>
      <c r="N135" s="22"/>
      <c r="O135" s="22"/>
      <c r="P135" s="22"/>
    </row>
    <row r="136" spans="11:16" x14ac:dyDescent="0.25">
      <c r="K136" s="22">
        <v>77</v>
      </c>
      <c r="L136" s="22" t="s">
        <v>424</v>
      </c>
      <c r="M136" s="22" t="s">
        <v>628</v>
      </c>
      <c r="N136" s="22"/>
      <c r="O136" s="22"/>
      <c r="P136" s="22"/>
    </row>
    <row r="137" spans="11:16" x14ac:dyDescent="0.25">
      <c r="K137" s="22">
        <v>78</v>
      </c>
      <c r="L137" s="22" t="s">
        <v>564</v>
      </c>
      <c r="M137" s="22" t="s">
        <v>629</v>
      </c>
      <c r="N137" s="22"/>
      <c r="O137" s="22"/>
      <c r="P137" s="22"/>
    </row>
    <row r="138" spans="11:16" x14ac:dyDescent="0.25">
      <c r="K138" s="22">
        <v>79</v>
      </c>
      <c r="L138" s="22" t="s">
        <v>566</v>
      </c>
      <c r="M138" s="22" t="s">
        <v>475</v>
      </c>
      <c r="N138" s="22"/>
      <c r="O138" s="22"/>
      <c r="P138" s="22"/>
    </row>
    <row r="139" spans="11:16" x14ac:dyDescent="0.25">
      <c r="K139" s="22"/>
      <c r="L139" s="22"/>
      <c r="M139" s="22" t="s">
        <v>476</v>
      </c>
      <c r="N139" s="22"/>
      <c r="O139" s="22"/>
      <c r="P139" s="22"/>
    </row>
    <row r="140" spans="11:16" x14ac:dyDescent="0.25">
      <c r="K140" s="22"/>
      <c r="L140" s="22"/>
      <c r="M140" s="22" t="s">
        <v>477</v>
      </c>
      <c r="N140" s="22"/>
      <c r="O140" s="22"/>
      <c r="P140" s="22"/>
    </row>
    <row r="141" spans="11:16" x14ac:dyDescent="0.25">
      <c r="K141" s="22"/>
      <c r="L141" s="22"/>
      <c r="M141" s="22" t="s">
        <v>478</v>
      </c>
      <c r="N141" s="22"/>
      <c r="O141" s="22"/>
      <c r="P141" s="22"/>
    </row>
    <row r="142" spans="11:16" x14ac:dyDescent="0.25">
      <c r="K142" s="22"/>
      <c r="L142" s="22"/>
      <c r="M142" s="22" t="s">
        <v>630</v>
      </c>
      <c r="N142" s="22"/>
      <c r="O142" s="22"/>
      <c r="P142" s="22"/>
    </row>
    <row r="143" spans="11:16" x14ac:dyDescent="0.25">
      <c r="K143" s="22">
        <v>80</v>
      </c>
      <c r="L143" s="22" t="s">
        <v>568</v>
      </c>
      <c r="M143" s="22" t="s">
        <v>631</v>
      </c>
      <c r="N143" s="22"/>
      <c r="O143" s="22"/>
      <c r="P143" s="22"/>
    </row>
    <row r="144" spans="11:16" x14ac:dyDescent="0.25">
      <c r="K144" s="22"/>
      <c r="L144" s="22"/>
      <c r="M144" s="22" t="s">
        <v>632</v>
      </c>
      <c r="N144" s="22"/>
      <c r="O144" s="22"/>
      <c r="P144" s="22"/>
    </row>
    <row r="145" spans="11:16" x14ac:dyDescent="0.25">
      <c r="K145" s="22"/>
      <c r="L145" s="22"/>
      <c r="M145" s="22" t="s">
        <v>633</v>
      </c>
      <c r="N145" s="22"/>
      <c r="O145" s="22"/>
      <c r="P145" s="22"/>
    </row>
    <row r="146" spans="11:16" x14ac:dyDescent="0.25">
      <c r="K146" s="22">
        <v>81</v>
      </c>
      <c r="L146" s="22" t="s">
        <v>570</v>
      </c>
      <c r="M146" s="22" t="s">
        <v>634</v>
      </c>
      <c r="N146" s="22"/>
      <c r="O146" s="22"/>
      <c r="P146" s="22"/>
    </row>
    <row r="147" spans="11:16" x14ac:dyDescent="0.25">
      <c r="K147" s="25"/>
      <c r="L147" s="25"/>
      <c r="M147" s="25" t="s">
        <v>635</v>
      </c>
      <c r="N147" s="25"/>
      <c r="O147" s="25"/>
      <c r="P147" s="22"/>
    </row>
    <row r="148" spans="11:16" x14ac:dyDescent="0.25">
      <c r="K148" s="25">
        <v>82</v>
      </c>
      <c r="L148" s="25" t="s">
        <v>572</v>
      </c>
      <c r="M148" s="25" t="s">
        <v>636</v>
      </c>
      <c r="N148" s="25"/>
      <c r="O148" s="25"/>
      <c r="P148" s="22"/>
    </row>
    <row r="149" spans="11:16" x14ac:dyDescent="0.25">
      <c r="K149" s="25"/>
      <c r="L149" s="25"/>
      <c r="M149" s="25" t="s">
        <v>637</v>
      </c>
      <c r="N149" s="25"/>
      <c r="O149" s="25"/>
      <c r="P149" s="22"/>
    </row>
    <row r="150" spans="11:16" x14ac:dyDescent="0.25">
      <c r="K150" s="25">
        <v>83</v>
      </c>
      <c r="L150" s="25" t="s">
        <v>573</v>
      </c>
      <c r="M150" s="25" t="s">
        <v>636</v>
      </c>
      <c r="N150" s="25"/>
      <c r="O150" s="25"/>
      <c r="P150" s="22"/>
    </row>
    <row r="151" spans="11:16" x14ac:dyDescent="0.25">
      <c r="K151" s="25"/>
      <c r="L151" s="25"/>
      <c r="M151" s="25" t="s">
        <v>637</v>
      </c>
      <c r="N151" s="25"/>
      <c r="O151" s="25"/>
      <c r="P151" s="22"/>
    </row>
    <row r="152" spans="11:16" x14ac:dyDescent="0.25">
      <c r="K152" s="25">
        <v>84</v>
      </c>
      <c r="L152" s="25" t="s">
        <v>575</v>
      </c>
      <c r="M152" s="25" t="s">
        <v>638</v>
      </c>
      <c r="N152" s="25"/>
      <c r="O152" s="25"/>
      <c r="P152" s="22"/>
    </row>
    <row r="153" spans="11:16" x14ac:dyDescent="0.25">
      <c r="K153" s="25"/>
      <c r="L153" s="25"/>
      <c r="M153" s="25" t="s">
        <v>639</v>
      </c>
      <c r="N153" s="25"/>
      <c r="O153" s="25"/>
      <c r="P153" s="22"/>
    </row>
    <row r="154" spans="11:16" x14ac:dyDescent="0.25">
      <c r="K154" s="25"/>
      <c r="L154" s="25"/>
      <c r="M154" s="25" t="s">
        <v>640</v>
      </c>
      <c r="N154" s="25"/>
      <c r="O154" s="25"/>
      <c r="P154" s="22"/>
    </row>
    <row r="155" spans="11:16" x14ac:dyDescent="0.25">
      <c r="K155" s="25"/>
      <c r="L155" s="25"/>
      <c r="M155" s="25" t="s">
        <v>641</v>
      </c>
      <c r="N155" s="25"/>
      <c r="O155" s="25"/>
      <c r="P155" s="22"/>
    </row>
    <row r="156" spans="11:16" x14ac:dyDescent="0.25">
      <c r="K156" s="25"/>
      <c r="L156" s="25"/>
      <c r="M156" s="25" t="s">
        <v>642</v>
      </c>
      <c r="N156" s="25"/>
      <c r="O156" s="25"/>
      <c r="P156" s="22"/>
    </row>
    <row r="157" spans="11:16" x14ac:dyDescent="0.25">
      <c r="K157" s="25">
        <v>85</v>
      </c>
      <c r="L157" s="25" t="s">
        <v>577</v>
      </c>
      <c r="M157" s="25" t="s">
        <v>643</v>
      </c>
      <c r="N157" s="25" t="s">
        <v>432</v>
      </c>
      <c r="O157" s="25"/>
      <c r="P157" s="30"/>
    </row>
    <row r="158" spans="11:16" x14ac:dyDescent="0.25">
      <c r="K158" s="25">
        <v>86</v>
      </c>
      <c r="L158" s="25" t="s">
        <v>579</v>
      </c>
      <c r="M158" s="25" t="s">
        <v>475</v>
      </c>
      <c r="N158" s="25" t="s">
        <v>644</v>
      </c>
      <c r="O158" s="25"/>
      <c r="P158" s="22"/>
    </row>
    <row r="159" spans="11:16" x14ac:dyDescent="0.25">
      <c r="K159" s="25"/>
      <c r="L159" s="25"/>
      <c r="M159" s="25" t="s">
        <v>476</v>
      </c>
      <c r="N159" s="25"/>
      <c r="O159" s="25"/>
      <c r="P159" s="22"/>
    </row>
    <row r="160" spans="11:16" x14ac:dyDescent="0.25">
      <c r="K160" s="25"/>
      <c r="L160" s="25"/>
      <c r="M160" s="25" t="s">
        <v>477</v>
      </c>
      <c r="N160" s="25"/>
      <c r="O160" s="25"/>
      <c r="P160" s="22"/>
    </row>
    <row r="161" spans="11:16" x14ac:dyDescent="0.25">
      <c r="K161" s="25"/>
      <c r="L161" s="25"/>
      <c r="M161" s="25" t="s">
        <v>478</v>
      </c>
      <c r="N161" s="25"/>
      <c r="O161" s="25"/>
      <c r="P161" s="22"/>
    </row>
    <row r="162" spans="11:16" x14ac:dyDescent="0.25">
      <c r="K162" s="25">
        <v>87</v>
      </c>
      <c r="L162" s="25" t="s">
        <v>581</v>
      </c>
      <c r="M162" s="25" t="s">
        <v>636</v>
      </c>
      <c r="N162" s="25"/>
      <c r="O162" s="25"/>
      <c r="P162" s="22"/>
    </row>
    <row r="163" spans="11:16" x14ac:dyDescent="0.25">
      <c r="K163" s="25"/>
      <c r="L163" s="25"/>
      <c r="M163" s="25" t="s">
        <v>637</v>
      </c>
      <c r="N163" s="25"/>
      <c r="O163" s="25"/>
      <c r="P163" s="22"/>
    </row>
    <row r="164" spans="11:16" x14ac:dyDescent="0.25">
      <c r="K164" s="25">
        <v>88</v>
      </c>
      <c r="L164" s="25" t="s">
        <v>583</v>
      </c>
      <c r="M164" s="25" t="s">
        <v>645</v>
      </c>
      <c r="N164" s="25"/>
      <c r="O164" s="25"/>
      <c r="P164" s="22"/>
    </row>
    <row r="165" spans="11:16" x14ac:dyDescent="0.25">
      <c r="K165" s="25"/>
      <c r="L165" s="25"/>
      <c r="M165" s="25" t="s">
        <v>646</v>
      </c>
      <c r="N165" s="25"/>
      <c r="O165" s="25"/>
      <c r="P165" s="22"/>
    </row>
    <row r="166" spans="11:16" x14ac:dyDescent="0.25">
      <c r="K166" s="25"/>
      <c r="L166" s="25"/>
      <c r="M166" s="25" t="s">
        <v>647</v>
      </c>
      <c r="N166" s="25"/>
      <c r="O166" s="25"/>
      <c r="P166" s="22"/>
    </row>
    <row r="167" spans="11:16" x14ac:dyDescent="0.25">
      <c r="K167" s="25"/>
      <c r="L167" s="25"/>
      <c r="M167" s="25" t="s">
        <v>648</v>
      </c>
      <c r="N167" s="25"/>
      <c r="O167" s="25"/>
      <c r="P167" s="22"/>
    </row>
    <row r="168" spans="11:16" x14ac:dyDescent="0.25">
      <c r="K168" s="25">
        <v>89</v>
      </c>
      <c r="L168" s="25" t="s">
        <v>585</v>
      </c>
      <c r="M168" s="25" t="s">
        <v>636</v>
      </c>
      <c r="N168" s="25" t="s">
        <v>649</v>
      </c>
      <c r="O168" s="25"/>
      <c r="P168" s="22"/>
    </row>
    <row r="169" spans="11:16" x14ac:dyDescent="0.25">
      <c r="K169" s="25"/>
      <c r="L169" s="25"/>
      <c r="M169" s="25" t="s">
        <v>637</v>
      </c>
      <c r="N169" s="25"/>
      <c r="O169" s="25"/>
      <c r="P169" s="22"/>
    </row>
    <row r="170" spans="11:16" x14ac:dyDescent="0.25">
      <c r="K170" s="25">
        <v>90</v>
      </c>
      <c r="L170" s="25" t="s">
        <v>587</v>
      </c>
      <c r="M170" s="25" t="s">
        <v>475</v>
      </c>
      <c r="N170" s="25"/>
      <c r="O170" s="25"/>
      <c r="P170" s="22"/>
    </row>
    <row r="171" spans="11:16" x14ac:dyDescent="0.25">
      <c r="K171" s="25"/>
      <c r="L171" s="25"/>
      <c r="M171" s="25" t="s">
        <v>476</v>
      </c>
      <c r="N171" s="25"/>
      <c r="O171" s="25"/>
      <c r="P171" s="22"/>
    </row>
    <row r="172" spans="11:16" x14ac:dyDescent="0.25">
      <c r="K172" s="25"/>
      <c r="L172" s="25"/>
      <c r="M172" s="25" t="s">
        <v>477</v>
      </c>
      <c r="N172" s="25"/>
      <c r="O172" s="25"/>
      <c r="P172" s="22"/>
    </row>
    <row r="173" spans="11:16" x14ac:dyDescent="0.25">
      <c r="K173" s="25"/>
      <c r="L173" s="25"/>
      <c r="M173" s="25" t="s">
        <v>478</v>
      </c>
      <c r="N173" s="25"/>
      <c r="O173" s="25"/>
      <c r="P173" s="22"/>
    </row>
    <row r="174" spans="11:16" x14ac:dyDescent="0.25">
      <c r="K174" s="25"/>
      <c r="L174" s="25"/>
      <c r="M174" s="25" t="s">
        <v>650</v>
      </c>
      <c r="N174" s="25"/>
      <c r="O174" s="25"/>
      <c r="P174" s="22"/>
    </row>
    <row r="175" spans="11:16" x14ac:dyDescent="0.25">
      <c r="K175" s="25">
        <v>91</v>
      </c>
      <c r="L175" s="25" t="s">
        <v>589</v>
      </c>
      <c r="M175" s="25" t="s">
        <v>475</v>
      </c>
      <c r="N175" s="25" t="s">
        <v>644</v>
      </c>
      <c r="O175" s="25"/>
      <c r="P175" s="22"/>
    </row>
    <row r="176" spans="11:16" x14ac:dyDescent="0.25">
      <c r="K176" s="25"/>
      <c r="L176" s="25"/>
      <c r="M176" s="25" t="s">
        <v>476</v>
      </c>
      <c r="N176" s="25"/>
      <c r="O176" s="25"/>
      <c r="P176" s="22"/>
    </row>
    <row r="177" spans="11:16" x14ac:dyDescent="0.25">
      <c r="K177" s="25"/>
      <c r="L177" s="25"/>
      <c r="M177" s="25" t="s">
        <v>477</v>
      </c>
      <c r="N177" s="25"/>
      <c r="O177" s="25"/>
      <c r="P177" s="22"/>
    </row>
    <row r="178" spans="11:16" x14ac:dyDescent="0.25">
      <c r="K178" s="25"/>
      <c r="L178" s="25"/>
      <c r="M178" s="25" t="s">
        <v>478</v>
      </c>
      <c r="N178" s="25"/>
      <c r="O178" s="25"/>
      <c r="P178" s="22"/>
    </row>
    <row r="179" spans="11:16" x14ac:dyDescent="0.25">
      <c r="K179" s="25"/>
      <c r="L179" s="25"/>
      <c r="M179" s="25" t="s">
        <v>651</v>
      </c>
      <c r="N179" s="25"/>
      <c r="O179" s="25"/>
      <c r="P179" s="22"/>
    </row>
    <row r="180" spans="11:16" x14ac:dyDescent="0.25">
      <c r="K180" s="22">
        <v>92</v>
      </c>
      <c r="L180" s="22" t="s">
        <v>591</v>
      </c>
      <c r="M180" s="22" t="s">
        <v>652</v>
      </c>
      <c r="N180" s="22"/>
      <c r="O180" s="22"/>
      <c r="P180" s="22"/>
    </row>
    <row r="181" spans="11:16" x14ac:dyDescent="0.25">
      <c r="K181" s="22">
        <v>93</v>
      </c>
      <c r="L181" s="25" t="s">
        <v>593</v>
      </c>
      <c r="M181" s="22" t="s">
        <v>652</v>
      </c>
      <c r="N181" s="22"/>
      <c r="O181" s="22"/>
      <c r="P181" s="22"/>
    </row>
    <row r="182" spans="11:16" x14ac:dyDescent="0.25">
      <c r="K182" s="22">
        <v>94</v>
      </c>
      <c r="L182" s="25" t="s">
        <v>595</v>
      </c>
      <c r="M182" s="22" t="s">
        <v>652</v>
      </c>
      <c r="N182" s="22"/>
      <c r="O182" s="22"/>
      <c r="P182" s="22"/>
    </row>
    <row r="183" spans="11:16" x14ac:dyDescent="0.25">
      <c r="K183" s="22">
        <v>95</v>
      </c>
      <c r="L183" s="25" t="s">
        <v>597</v>
      </c>
      <c r="M183" s="22" t="s">
        <v>652</v>
      </c>
      <c r="N183" s="22"/>
      <c r="O183" s="22"/>
      <c r="P183" s="22"/>
    </row>
    <row r="184" spans="11:16" x14ac:dyDescent="0.25">
      <c r="K184" s="22"/>
      <c r="L184" s="22"/>
      <c r="M184" s="22"/>
      <c r="N184" s="22"/>
      <c r="O184" s="22"/>
      <c r="P184" s="22"/>
    </row>
  </sheetData>
  <conditionalFormatting sqref="M38:M39">
    <cfRule type="duplicateValues" dxfId="19" priority="19"/>
    <cfRule type="duplicateValues" dxfId="18" priority="20"/>
  </conditionalFormatting>
  <conditionalFormatting sqref="M80">
    <cfRule type="duplicateValues" dxfId="17" priority="17"/>
    <cfRule type="duplicateValues" dxfId="16" priority="18"/>
  </conditionalFormatting>
  <conditionalFormatting sqref="M102">
    <cfRule type="duplicateValues" dxfId="15" priority="14"/>
    <cfRule type="duplicateValues" dxfId="14" priority="15"/>
    <cfRule type="duplicateValues" dxfId="13" priority="16"/>
  </conditionalFormatting>
  <conditionalFormatting sqref="M109">
    <cfRule type="duplicateValues" dxfId="12" priority="11"/>
    <cfRule type="duplicateValues" dxfId="11" priority="12"/>
    <cfRule type="duplicateValues" dxfId="10" priority="13"/>
  </conditionalFormatting>
  <conditionalFormatting sqref="M110 M113:M114">
    <cfRule type="duplicateValues" dxfId="9" priority="9"/>
    <cfRule type="duplicateValues" dxfId="8" priority="10"/>
  </conditionalFormatting>
  <conditionalFormatting sqref="M117">
    <cfRule type="duplicateValues" dxfId="7" priority="7"/>
    <cfRule type="duplicateValues" dxfId="6" priority="8"/>
  </conditionalFormatting>
  <conditionalFormatting sqref="M118">
    <cfRule type="duplicateValues" dxfId="5" priority="5"/>
    <cfRule type="duplicateValues" dxfId="4" priority="6"/>
  </conditionalFormatting>
  <conditionalFormatting sqref="M119">
    <cfRule type="duplicateValues" dxfId="3" priority="3"/>
    <cfRule type="duplicateValues" dxfId="2" priority="4"/>
  </conditionalFormatting>
  <conditionalFormatting sqref="M120">
    <cfRule type="duplicateValues" dxfId="1" priority="1"/>
    <cfRule type="duplicateValues" dxfId="0" priority="2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094A4-9BA6-4F3B-B071-1176A6CBFDD4}">
  <dimension ref="A1:DU378"/>
  <sheetViews>
    <sheetView workbookViewId="0">
      <selection activeCell="CT13" sqref="CT13"/>
    </sheetView>
  </sheetViews>
  <sheetFormatPr defaultColWidth="9.140625" defaultRowHeight="15" x14ac:dyDescent="0.25"/>
  <cols>
    <col min="1" max="77" width="9.140625" style="1"/>
    <col min="78" max="93" width="13.140625" style="1" customWidth="1"/>
    <col min="94" max="95" width="9.140625" style="1"/>
    <col min="96" max="96" width="23.7109375" style="1" customWidth="1"/>
    <col min="97" max="97" width="9.140625" style="1"/>
    <col min="98" max="98" width="19.7109375" style="5" customWidth="1"/>
    <col min="99" max="104" width="9.140625" style="1"/>
    <col min="105" max="106" width="9.140625" style="5"/>
    <col min="107" max="108" width="9.140625" style="21"/>
    <col min="109" max="117" width="9.140625" style="1"/>
    <col min="118" max="118" width="19.42578125" style="1" customWidth="1"/>
    <col min="119" max="119" width="23" style="1" customWidth="1"/>
    <col min="120" max="120" width="59.28515625" style="1" customWidth="1"/>
    <col min="121" max="124" width="9.140625" style="1"/>
    <col min="125" max="125" width="13.85546875" style="1" customWidth="1"/>
    <col min="126" max="16384" width="9.140625" style="1"/>
  </cols>
  <sheetData>
    <row r="1" spans="1:125" x14ac:dyDescent="0.25">
      <c r="A1" s="38" t="s">
        <v>686</v>
      </c>
      <c r="CQ1" s="2" t="s">
        <v>156</v>
      </c>
      <c r="CT1" s="2"/>
      <c r="CU1" s="3"/>
      <c r="CV1" s="3"/>
      <c r="CW1" s="3"/>
      <c r="CX1" s="3"/>
      <c r="CY1" s="3"/>
      <c r="CZ1" s="3"/>
      <c r="DA1" s="3"/>
      <c r="DB1" s="3"/>
      <c r="DC1" s="4"/>
      <c r="DD1" s="4"/>
      <c r="DE1" s="5"/>
      <c r="DF1" s="6" t="s">
        <v>157</v>
      </c>
      <c r="DG1" s="7"/>
      <c r="DH1" s="7"/>
      <c r="DI1" s="7"/>
      <c r="DJ1" s="7"/>
      <c r="DK1" s="7"/>
      <c r="DL1" s="7"/>
      <c r="DM1" s="5"/>
      <c r="DN1" s="5"/>
      <c r="DO1" s="5"/>
      <c r="DP1" s="5"/>
      <c r="DQ1" s="5"/>
      <c r="DR1" s="5"/>
      <c r="DS1" s="5"/>
      <c r="DT1" s="5"/>
      <c r="DU1" s="5"/>
    </row>
    <row r="2" spans="1:125" x14ac:dyDescent="0.25">
      <c r="CT2" s="3"/>
      <c r="CU2" s="3"/>
      <c r="CV2" s="3"/>
      <c r="CW2" s="3"/>
      <c r="CX2" s="3"/>
      <c r="CY2" s="3"/>
      <c r="CZ2" s="3"/>
      <c r="DA2" s="3"/>
      <c r="DB2" s="3"/>
      <c r="DC2" s="4"/>
      <c r="DD2" s="4"/>
      <c r="DE2" s="5"/>
      <c r="DF2" s="8"/>
      <c r="DG2" s="8"/>
      <c r="DH2" s="8"/>
      <c r="DI2" s="8"/>
      <c r="DJ2" s="8"/>
      <c r="DK2" s="8"/>
      <c r="DL2" s="8"/>
      <c r="DM2" s="5"/>
      <c r="DN2" s="5"/>
      <c r="DO2" s="5"/>
      <c r="DP2" s="5"/>
      <c r="DQ2" s="5"/>
      <c r="DR2" s="5"/>
      <c r="DS2" s="5"/>
      <c r="DT2" s="5"/>
      <c r="DU2" s="5"/>
    </row>
    <row r="3" spans="1:125" ht="15.75" x14ac:dyDescent="0.25">
      <c r="CT3" s="2" t="s">
        <v>158</v>
      </c>
      <c r="CU3" s="2" t="s">
        <v>159</v>
      </c>
      <c r="CV3" s="2" t="s">
        <v>160</v>
      </c>
      <c r="CW3" s="2" t="s">
        <v>161</v>
      </c>
      <c r="CX3" s="2" t="s">
        <v>162</v>
      </c>
      <c r="CY3" s="2" t="s">
        <v>163</v>
      </c>
      <c r="CZ3" s="2" t="s">
        <v>164</v>
      </c>
      <c r="DA3" s="9" t="s">
        <v>165</v>
      </c>
      <c r="DB3" s="9"/>
      <c r="DC3" s="10" t="s">
        <v>166</v>
      </c>
      <c r="DD3" s="10" t="s">
        <v>167</v>
      </c>
      <c r="DE3" s="11"/>
      <c r="DF3" s="6" t="s">
        <v>159</v>
      </c>
      <c r="DG3" s="6" t="s">
        <v>160</v>
      </c>
      <c r="DH3" s="6" t="s">
        <v>161</v>
      </c>
      <c r="DI3" s="6" t="s">
        <v>162</v>
      </c>
      <c r="DJ3" s="6" t="s">
        <v>163</v>
      </c>
      <c r="DK3" s="6" t="s">
        <v>164</v>
      </c>
      <c r="DL3" s="6" t="s">
        <v>168</v>
      </c>
      <c r="DM3" s="5"/>
      <c r="DN3" s="5"/>
      <c r="DO3" s="5" t="s">
        <v>169</v>
      </c>
      <c r="DP3" s="5"/>
      <c r="DQ3" s="5"/>
      <c r="DR3" s="5"/>
      <c r="DS3" s="5"/>
      <c r="DT3" s="5"/>
      <c r="DU3" s="5"/>
    </row>
    <row r="4" spans="1:125" x14ac:dyDescent="0.25">
      <c r="A4" t="s">
        <v>170</v>
      </c>
      <c r="B4" t="s">
        <v>171</v>
      </c>
      <c r="C4" t="s">
        <v>172</v>
      </c>
      <c r="D4" t="s">
        <v>173</v>
      </c>
      <c r="E4" t="s">
        <v>174</v>
      </c>
      <c r="F4" t="s">
        <v>175</v>
      </c>
      <c r="G4" t="s">
        <v>176</v>
      </c>
      <c r="H4" t="s">
        <v>177</v>
      </c>
      <c r="I4" t="s">
        <v>178</v>
      </c>
      <c r="J4" t="s">
        <v>179</v>
      </c>
      <c r="K4" t="s">
        <v>180</v>
      </c>
      <c r="L4" t="s">
        <v>181</v>
      </c>
      <c r="M4" t="s">
        <v>182</v>
      </c>
      <c r="N4" t="s">
        <v>183</v>
      </c>
      <c r="O4" t="s">
        <v>184</v>
      </c>
      <c r="P4" t="s">
        <v>185</v>
      </c>
      <c r="Q4" t="s">
        <v>186</v>
      </c>
      <c r="R4" t="s">
        <v>187</v>
      </c>
      <c r="S4" t="s">
        <v>188</v>
      </c>
      <c r="T4" t="s">
        <v>189</v>
      </c>
      <c r="U4" t="s">
        <v>190</v>
      </c>
      <c r="V4" t="s">
        <v>191</v>
      </c>
      <c r="W4" t="s">
        <v>192</v>
      </c>
      <c r="X4" t="s">
        <v>193</v>
      </c>
      <c r="Y4" t="s">
        <v>194</v>
      </c>
      <c r="Z4" t="s">
        <v>195</v>
      </c>
      <c r="AA4" t="s">
        <v>196</v>
      </c>
      <c r="AB4" t="s">
        <v>197</v>
      </c>
      <c r="AC4" t="s">
        <v>198</v>
      </c>
      <c r="AD4" t="s">
        <v>199</v>
      </c>
      <c r="AE4" t="s">
        <v>200</v>
      </c>
      <c r="AF4" t="s">
        <v>201</v>
      </c>
      <c r="AG4" t="s">
        <v>202</v>
      </c>
      <c r="AH4" t="s">
        <v>203</v>
      </c>
      <c r="AI4" t="s">
        <v>204</v>
      </c>
      <c r="AJ4" t="s">
        <v>205</v>
      </c>
      <c r="AK4" t="s">
        <v>206</v>
      </c>
      <c r="AL4" t="s">
        <v>207</v>
      </c>
      <c r="AM4" t="s">
        <v>208</v>
      </c>
      <c r="AN4" t="s">
        <v>209</v>
      </c>
      <c r="AO4" t="s">
        <v>210</v>
      </c>
      <c r="AP4" t="s">
        <v>211</v>
      </c>
      <c r="AQ4" t="s">
        <v>212</v>
      </c>
      <c r="AR4" t="s">
        <v>213</v>
      </c>
      <c r="AS4" t="s">
        <v>214</v>
      </c>
      <c r="AT4" t="s">
        <v>215</v>
      </c>
      <c r="AU4" t="s">
        <v>216</v>
      </c>
      <c r="AV4" t="s">
        <v>217</v>
      </c>
      <c r="AW4" t="s">
        <v>218</v>
      </c>
      <c r="AX4" t="s">
        <v>219</v>
      </c>
      <c r="AY4" t="s">
        <v>220</v>
      </c>
      <c r="AZ4" t="s">
        <v>221</v>
      </c>
      <c r="BA4" t="s">
        <v>222</v>
      </c>
      <c r="BB4" t="s">
        <v>223</v>
      </c>
      <c r="BC4" t="s">
        <v>224</v>
      </c>
      <c r="BD4" t="s">
        <v>225</v>
      </c>
      <c r="BE4" t="s">
        <v>226</v>
      </c>
      <c r="BF4" t="s">
        <v>227</v>
      </c>
      <c r="BG4" t="s">
        <v>228</v>
      </c>
      <c r="BH4" t="s">
        <v>229</v>
      </c>
      <c r="BI4" t="s">
        <v>230</v>
      </c>
      <c r="BJ4" t="s">
        <v>231</v>
      </c>
      <c r="BK4" t="s">
        <v>232</v>
      </c>
      <c r="BL4" t="s">
        <v>233</v>
      </c>
      <c r="BM4" t="s">
        <v>234</v>
      </c>
      <c r="BN4" t="s">
        <v>235</v>
      </c>
      <c r="BO4" t="s">
        <v>236</v>
      </c>
      <c r="BP4" t="s">
        <v>237</v>
      </c>
      <c r="BQ4" t="s">
        <v>238</v>
      </c>
      <c r="BR4" t="s">
        <v>239</v>
      </c>
      <c r="BS4" t="s">
        <v>240</v>
      </c>
      <c r="BT4" t="s">
        <v>241</v>
      </c>
      <c r="BU4" t="s">
        <v>242</v>
      </c>
      <c r="BV4" t="s">
        <v>243</v>
      </c>
      <c r="BW4" t="s">
        <v>244</v>
      </c>
      <c r="BX4" t="s">
        <v>245</v>
      </c>
      <c r="BY4" t="s">
        <v>246</v>
      </c>
      <c r="BZ4" t="s">
        <v>247</v>
      </c>
      <c r="CA4" t="s">
        <v>248</v>
      </c>
      <c r="CB4" t="s">
        <v>249</v>
      </c>
      <c r="CC4" t="s">
        <v>250</v>
      </c>
      <c r="CD4" t="s">
        <v>251</v>
      </c>
      <c r="CE4" t="s">
        <v>252</v>
      </c>
      <c r="CF4" t="s">
        <v>253</v>
      </c>
      <c r="CG4" t="s">
        <v>254</v>
      </c>
      <c r="CH4" t="s">
        <v>255</v>
      </c>
      <c r="CI4" t="s">
        <v>256</v>
      </c>
      <c r="CJ4" t="s">
        <v>257</v>
      </c>
      <c r="CK4" t="s">
        <v>258</v>
      </c>
      <c r="CL4" t="s">
        <v>259</v>
      </c>
      <c r="CM4" t="s">
        <v>260</v>
      </c>
      <c r="CN4" t="s">
        <v>261</v>
      </c>
      <c r="CO4"/>
      <c r="CS4" s="2"/>
      <c r="CT4" s="2"/>
      <c r="CU4" s="2"/>
      <c r="CV4" s="2"/>
      <c r="CW4" s="2"/>
      <c r="CX4" s="2"/>
      <c r="CY4" s="2"/>
      <c r="CZ4" s="3"/>
      <c r="DC4" s="12"/>
      <c r="DD4" s="12"/>
      <c r="DE4" s="8"/>
      <c r="DF4" s="8"/>
      <c r="DG4" s="8"/>
      <c r="DH4" s="8"/>
      <c r="DI4" s="8"/>
      <c r="DJ4" s="8"/>
      <c r="DK4" s="8"/>
      <c r="DL4" s="5"/>
      <c r="DM4" s="5"/>
      <c r="DN4" s="5"/>
      <c r="DO4" s="5"/>
      <c r="DQ4" s="5"/>
      <c r="DR4" s="5"/>
      <c r="DS4" s="5"/>
      <c r="DT4" s="5"/>
    </row>
    <row r="5" spans="1:125" ht="19.5" x14ac:dyDescent="0.4">
      <c r="A5" t="s">
        <v>262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1</v>
      </c>
      <c r="AB5">
        <v>-1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-1</v>
      </c>
      <c r="AX5">
        <v>0</v>
      </c>
      <c r="AY5">
        <v>0</v>
      </c>
      <c r="AZ5">
        <v>0</v>
      </c>
      <c r="BA5">
        <v>0</v>
      </c>
      <c r="BB5">
        <v>0</v>
      </c>
      <c r="BC5">
        <v>1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-0.26700000000000002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-6</v>
      </c>
      <c r="CJ5">
        <v>0</v>
      </c>
      <c r="CK5">
        <v>-24</v>
      </c>
      <c r="CL5">
        <v>0</v>
      </c>
      <c r="CM5">
        <v>-1</v>
      </c>
      <c r="CN5">
        <v>0</v>
      </c>
      <c r="CO5"/>
      <c r="CP5" s="1">
        <v>1</v>
      </c>
      <c r="CQ5" s="1" t="s">
        <v>172</v>
      </c>
      <c r="CT5" s="13" t="s">
        <v>263</v>
      </c>
      <c r="CU5" s="5">
        <v>6</v>
      </c>
      <c r="CV5" s="5">
        <v>10</v>
      </c>
      <c r="CW5" s="5">
        <v>10</v>
      </c>
      <c r="CX5" s="5">
        <v>0</v>
      </c>
      <c r="CY5" s="5">
        <v>1</v>
      </c>
      <c r="CZ5" s="5">
        <v>0</v>
      </c>
      <c r="DA5" s="5">
        <v>-3</v>
      </c>
      <c r="DC5" s="12">
        <f t="shared" ref="DC5:DC68" si="0">IF(CU5=0,(4*CU5+CV5-2*CW5-3*CX5+5*CY5-2*CZ5-DA5),(4*CU5+CV5-2*CW5-3*CX5+5*CY5-2*CZ5-DA5)/CU5)</f>
        <v>3.6666666666666665</v>
      </c>
      <c r="DD5" s="12">
        <f t="shared" ref="DD5:DD68" si="1">IF(CU5=0,DC5,DC5*CU5)</f>
        <v>22</v>
      </c>
      <c r="DE5" s="5"/>
      <c r="DF5" s="8">
        <f>MMULT($C5:$CH5,CU$5:CU$88)</f>
        <v>0</v>
      </c>
      <c r="DG5" s="8">
        <f t="shared" ref="DF5:DL20" si="2">MMULT($C5:$CH5,CV$5:CV$88)</f>
        <v>0</v>
      </c>
      <c r="DH5" s="8">
        <f t="shared" si="2"/>
        <v>0</v>
      </c>
      <c r="DI5" s="8">
        <f t="shared" si="2"/>
        <v>0</v>
      </c>
      <c r="DJ5" s="8">
        <f t="shared" si="2"/>
        <v>0</v>
      </c>
      <c r="DK5" s="8">
        <f t="shared" si="2"/>
        <v>0</v>
      </c>
      <c r="DL5" s="8">
        <f t="shared" si="2"/>
        <v>0</v>
      </c>
      <c r="DM5" s="5"/>
      <c r="DO5" s="1" t="s">
        <v>0</v>
      </c>
      <c r="DP5" s="1" t="s">
        <v>264</v>
      </c>
      <c r="DQ5" s="5"/>
      <c r="DR5" s="14" t="s">
        <v>265</v>
      </c>
      <c r="DS5" s="5"/>
      <c r="DT5" s="5"/>
      <c r="DU5" s="5"/>
    </row>
    <row r="6" spans="1:125" ht="16.5" x14ac:dyDescent="0.35">
      <c r="A6" t="s">
        <v>266</v>
      </c>
      <c r="B6">
        <v>0</v>
      </c>
      <c r="C6">
        <v>0</v>
      </c>
      <c r="D6">
        <v>0</v>
      </c>
      <c r="E6">
        <v>0</v>
      </c>
      <c r="F6">
        <v>0</v>
      </c>
      <c r="G6">
        <v>1</v>
      </c>
      <c r="H6">
        <v>0</v>
      </c>
      <c r="I6">
        <v>0</v>
      </c>
      <c r="J6">
        <v>-1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  <c r="AA6">
        <v>0</v>
      </c>
      <c r="AB6">
        <v>-1</v>
      </c>
      <c r="AC6">
        <v>0</v>
      </c>
      <c r="AD6">
        <v>0</v>
      </c>
      <c r="AE6">
        <v>0</v>
      </c>
      <c r="AF6">
        <v>0</v>
      </c>
      <c r="AG6">
        <v>-1</v>
      </c>
      <c r="AH6">
        <v>0</v>
      </c>
      <c r="AI6">
        <v>1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1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-30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/>
      <c r="CP6" s="1">
        <v>2</v>
      </c>
      <c r="CQ6" s="1" t="s">
        <v>173</v>
      </c>
      <c r="CT6" s="13" t="s">
        <v>267</v>
      </c>
      <c r="CU6" s="5">
        <v>2</v>
      </c>
      <c r="CV6" s="5">
        <v>3</v>
      </c>
      <c r="CW6" s="5">
        <v>2</v>
      </c>
      <c r="CX6" s="5">
        <v>0</v>
      </c>
      <c r="CY6" s="5">
        <v>0</v>
      </c>
      <c r="CZ6" s="5">
        <v>0</v>
      </c>
      <c r="DA6" s="5">
        <v>-1</v>
      </c>
      <c r="DC6" s="12">
        <f t="shared" si="0"/>
        <v>4</v>
      </c>
      <c r="DD6" s="12">
        <f t="shared" si="1"/>
        <v>8</v>
      </c>
      <c r="DF6" s="8">
        <f t="shared" si="2"/>
        <v>0</v>
      </c>
      <c r="DG6" s="8">
        <f t="shared" si="2"/>
        <v>0</v>
      </c>
      <c r="DH6" s="8">
        <f t="shared" si="2"/>
        <v>0</v>
      </c>
      <c r="DI6" s="8">
        <f t="shared" si="2"/>
        <v>0</v>
      </c>
      <c r="DJ6" s="8">
        <f t="shared" si="2"/>
        <v>0</v>
      </c>
      <c r="DK6" s="8">
        <f t="shared" si="2"/>
        <v>0</v>
      </c>
      <c r="DL6" s="8">
        <f t="shared" si="2"/>
        <v>0</v>
      </c>
      <c r="DO6" s="1" t="s">
        <v>1</v>
      </c>
      <c r="DP6" s="1" t="s">
        <v>268</v>
      </c>
      <c r="DR6" s="1" t="s">
        <v>265</v>
      </c>
    </row>
    <row r="7" spans="1:125" ht="16.5" x14ac:dyDescent="0.35">
      <c r="A7" t="s">
        <v>269</v>
      </c>
      <c r="B7">
        <v>0</v>
      </c>
      <c r="C7">
        <v>0</v>
      </c>
      <c r="D7">
        <v>0</v>
      </c>
      <c r="E7">
        <v>0</v>
      </c>
      <c r="F7">
        <v>0</v>
      </c>
      <c r="G7">
        <v>1</v>
      </c>
      <c r="H7">
        <v>0</v>
      </c>
      <c r="I7">
        <v>0</v>
      </c>
      <c r="J7">
        <v>-1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-1</v>
      </c>
      <c r="AA7">
        <v>1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1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/>
      <c r="CP7" s="1">
        <v>3</v>
      </c>
      <c r="CQ7" s="1" t="s">
        <v>174</v>
      </c>
      <c r="CT7" s="13" t="s">
        <v>267</v>
      </c>
      <c r="CU7" s="5">
        <v>2</v>
      </c>
      <c r="CV7" s="5">
        <v>3</v>
      </c>
      <c r="CW7" s="5">
        <v>2</v>
      </c>
      <c r="CX7" s="5">
        <v>0</v>
      </c>
      <c r="CY7" s="5">
        <v>0</v>
      </c>
      <c r="CZ7" s="5">
        <v>0</v>
      </c>
      <c r="DA7" s="5">
        <v>-1</v>
      </c>
      <c r="DC7" s="12">
        <f t="shared" si="0"/>
        <v>4</v>
      </c>
      <c r="DD7" s="12">
        <f t="shared" si="1"/>
        <v>8</v>
      </c>
      <c r="DF7" s="8">
        <f t="shared" si="2"/>
        <v>0</v>
      </c>
      <c r="DG7" s="8">
        <f t="shared" si="2"/>
        <v>0</v>
      </c>
      <c r="DH7" s="8">
        <f t="shared" si="2"/>
        <v>0</v>
      </c>
      <c r="DI7" s="8">
        <f t="shared" si="2"/>
        <v>0</v>
      </c>
      <c r="DJ7" s="8">
        <f t="shared" si="2"/>
        <v>0</v>
      </c>
      <c r="DK7" s="8">
        <f t="shared" si="2"/>
        <v>0</v>
      </c>
      <c r="DL7" s="8">
        <f t="shared" si="2"/>
        <v>0</v>
      </c>
      <c r="DO7" s="1" t="s">
        <v>2</v>
      </c>
      <c r="DP7" s="1" t="s">
        <v>3</v>
      </c>
      <c r="DR7" s="1" t="s">
        <v>270</v>
      </c>
    </row>
    <row r="8" spans="1:125" ht="16.5" x14ac:dyDescent="0.35">
      <c r="A8" t="s">
        <v>271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</v>
      </c>
      <c r="W8">
        <v>0</v>
      </c>
      <c r="X8">
        <v>0</v>
      </c>
      <c r="Y8">
        <v>0</v>
      </c>
      <c r="Z8">
        <v>0</v>
      </c>
      <c r="AA8">
        <v>-1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/>
      <c r="CP8" s="1">
        <v>4</v>
      </c>
      <c r="CQ8" s="1" t="s">
        <v>175</v>
      </c>
      <c r="CS8" s="15"/>
      <c r="CT8" s="13" t="s">
        <v>272</v>
      </c>
      <c r="CU8" s="5">
        <v>23</v>
      </c>
      <c r="CV8" s="5">
        <v>34</v>
      </c>
      <c r="CW8" s="5">
        <v>17</v>
      </c>
      <c r="CX8" s="5">
        <v>7</v>
      </c>
      <c r="CY8" s="5">
        <v>3</v>
      </c>
      <c r="CZ8" s="5">
        <v>1</v>
      </c>
      <c r="DA8" s="5">
        <v>-4</v>
      </c>
      <c r="DC8" s="12">
        <f t="shared" si="0"/>
        <v>3.8260869565217392</v>
      </c>
      <c r="DD8" s="12">
        <f t="shared" si="1"/>
        <v>88</v>
      </c>
      <c r="DF8" s="8">
        <f t="shared" si="2"/>
        <v>0</v>
      </c>
      <c r="DG8" s="8">
        <f t="shared" si="2"/>
        <v>0</v>
      </c>
      <c r="DH8" s="8">
        <f t="shared" si="2"/>
        <v>0</v>
      </c>
      <c r="DI8" s="8">
        <f t="shared" si="2"/>
        <v>0</v>
      </c>
      <c r="DJ8" s="8">
        <f t="shared" si="2"/>
        <v>0</v>
      </c>
      <c r="DK8" s="8">
        <f t="shared" si="2"/>
        <v>0</v>
      </c>
      <c r="DL8" s="8">
        <f t="shared" si="2"/>
        <v>0</v>
      </c>
      <c r="DO8" s="1" t="s">
        <v>4</v>
      </c>
      <c r="DP8" s="1" t="s">
        <v>5</v>
      </c>
      <c r="DR8" s="1" t="s">
        <v>273</v>
      </c>
    </row>
    <row r="9" spans="1:125" ht="16.5" x14ac:dyDescent="0.35">
      <c r="A9" t="s">
        <v>274</v>
      </c>
      <c r="B9">
        <v>0</v>
      </c>
      <c r="C9">
        <v>0</v>
      </c>
      <c r="D9">
        <v>0</v>
      </c>
      <c r="E9">
        <v>0</v>
      </c>
      <c r="F9">
        <v>0</v>
      </c>
      <c r="G9">
        <v>1</v>
      </c>
      <c r="H9">
        <v>0</v>
      </c>
      <c r="I9">
        <v>0</v>
      </c>
      <c r="J9">
        <v>-1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-1</v>
      </c>
      <c r="W9">
        <v>1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1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/>
      <c r="CP9" s="1">
        <v>5</v>
      </c>
      <c r="CQ9" s="1" t="s">
        <v>176</v>
      </c>
      <c r="CT9" s="13" t="s">
        <v>275</v>
      </c>
      <c r="CU9" s="5">
        <v>10</v>
      </c>
      <c r="CV9" s="5">
        <v>12</v>
      </c>
      <c r="CW9" s="5">
        <v>10</v>
      </c>
      <c r="CX9" s="5">
        <v>5</v>
      </c>
      <c r="CY9" s="5">
        <v>2</v>
      </c>
      <c r="CZ9" s="5">
        <v>0</v>
      </c>
      <c r="DA9" s="5">
        <v>-3</v>
      </c>
      <c r="DC9" s="12">
        <f t="shared" si="0"/>
        <v>3</v>
      </c>
      <c r="DD9" s="12">
        <f t="shared" si="1"/>
        <v>30</v>
      </c>
      <c r="DF9" s="8">
        <f t="shared" si="2"/>
        <v>0</v>
      </c>
      <c r="DG9" s="8">
        <f t="shared" si="2"/>
        <v>0</v>
      </c>
      <c r="DH9" s="8">
        <f t="shared" si="2"/>
        <v>0</v>
      </c>
      <c r="DI9" s="8">
        <f t="shared" si="2"/>
        <v>0</v>
      </c>
      <c r="DJ9" s="8">
        <f t="shared" si="2"/>
        <v>0</v>
      </c>
      <c r="DK9" s="8">
        <f t="shared" si="2"/>
        <v>0</v>
      </c>
      <c r="DL9" s="8">
        <f t="shared" si="2"/>
        <v>0</v>
      </c>
      <c r="DO9" s="1" t="s">
        <v>6</v>
      </c>
      <c r="DP9" s="1" t="s">
        <v>7</v>
      </c>
      <c r="DR9" s="1" t="s">
        <v>265</v>
      </c>
    </row>
    <row r="10" spans="1:125" ht="16.5" x14ac:dyDescent="0.35">
      <c r="A10" t="s">
        <v>276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1</v>
      </c>
      <c r="W10">
        <v>-1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-1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1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/>
      <c r="CP10" s="1">
        <v>6</v>
      </c>
      <c r="CQ10" s="1" t="s">
        <v>177</v>
      </c>
      <c r="CT10" s="13" t="s">
        <v>277</v>
      </c>
      <c r="CU10" s="5">
        <v>5</v>
      </c>
      <c r="CV10" s="5">
        <v>4</v>
      </c>
      <c r="CW10" s="5">
        <v>5</v>
      </c>
      <c r="CX10" s="5">
        <v>0</v>
      </c>
      <c r="CY10" s="5">
        <v>0</v>
      </c>
      <c r="CZ10" s="5">
        <v>0</v>
      </c>
      <c r="DA10" s="5">
        <v>-2</v>
      </c>
      <c r="DC10" s="12">
        <f t="shared" si="0"/>
        <v>3.2</v>
      </c>
      <c r="DD10" s="12">
        <f t="shared" si="1"/>
        <v>16</v>
      </c>
      <c r="DF10" s="8">
        <f t="shared" si="2"/>
        <v>0</v>
      </c>
      <c r="DG10" s="8">
        <f t="shared" si="2"/>
        <v>0</v>
      </c>
      <c r="DH10" s="8">
        <f t="shared" si="2"/>
        <v>0</v>
      </c>
      <c r="DI10" s="8">
        <f t="shared" si="2"/>
        <v>0</v>
      </c>
      <c r="DJ10" s="8">
        <f t="shared" si="2"/>
        <v>0</v>
      </c>
      <c r="DK10" s="8">
        <f t="shared" si="2"/>
        <v>0</v>
      </c>
      <c r="DL10" s="8">
        <f t="shared" si="2"/>
        <v>0</v>
      </c>
      <c r="DO10" s="1" t="s">
        <v>8</v>
      </c>
      <c r="DP10" s="1" t="s">
        <v>9</v>
      </c>
      <c r="DR10" s="1" t="s">
        <v>265</v>
      </c>
    </row>
    <row r="11" spans="1:125" ht="16.5" x14ac:dyDescent="0.35">
      <c r="A11" t="s">
        <v>278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-1</v>
      </c>
      <c r="X11">
        <v>0</v>
      </c>
      <c r="Y11">
        <v>1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/>
      <c r="CP11" s="1">
        <v>7</v>
      </c>
      <c r="CQ11" s="1" t="s">
        <v>178</v>
      </c>
      <c r="CT11" s="13" t="s">
        <v>279</v>
      </c>
      <c r="CU11" s="5">
        <v>10</v>
      </c>
      <c r="CV11" s="5">
        <v>12</v>
      </c>
      <c r="CW11" s="5">
        <v>7</v>
      </c>
      <c r="CX11" s="5">
        <v>5</v>
      </c>
      <c r="CY11" s="5">
        <v>1</v>
      </c>
      <c r="CZ11" s="5">
        <v>0</v>
      </c>
      <c r="DA11" s="5">
        <v>-2</v>
      </c>
      <c r="DC11" s="12">
        <f t="shared" si="0"/>
        <v>3</v>
      </c>
      <c r="DD11" s="12">
        <f t="shared" si="1"/>
        <v>30</v>
      </c>
      <c r="DF11" s="8">
        <f t="shared" si="2"/>
        <v>0</v>
      </c>
      <c r="DG11" s="8">
        <f t="shared" si="2"/>
        <v>0</v>
      </c>
      <c r="DH11" s="8">
        <f t="shared" si="2"/>
        <v>0</v>
      </c>
      <c r="DI11" s="8">
        <f t="shared" si="2"/>
        <v>0</v>
      </c>
      <c r="DJ11" s="8">
        <f t="shared" si="2"/>
        <v>0</v>
      </c>
      <c r="DK11" s="8">
        <f t="shared" si="2"/>
        <v>0</v>
      </c>
      <c r="DL11" s="8">
        <f t="shared" si="2"/>
        <v>0</v>
      </c>
      <c r="DO11" s="1" t="s">
        <v>10</v>
      </c>
      <c r="DP11" s="1" t="s">
        <v>11</v>
      </c>
      <c r="DR11" s="1" t="s">
        <v>273</v>
      </c>
    </row>
    <row r="12" spans="1:125" ht="16.5" x14ac:dyDescent="0.35">
      <c r="A12" t="s">
        <v>280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-1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/>
      <c r="CP12" s="1">
        <v>8</v>
      </c>
      <c r="CQ12" s="1" t="s">
        <v>179</v>
      </c>
      <c r="CT12" s="13" t="s">
        <v>281</v>
      </c>
      <c r="CU12" s="5">
        <v>10</v>
      </c>
      <c r="CV12" s="5">
        <v>12</v>
      </c>
      <c r="CW12" s="5">
        <v>13</v>
      </c>
      <c r="CX12" s="5">
        <v>5</v>
      </c>
      <c r="CY12" s="5">
        <v>3</v>
      </c>
      <c r="CZ12" s="5">
        <v>0</v>
      </c>
      <c r="DA12" s="5">
        <v>-4</v>
      </c>
      <c r="DC12" s="12">
        <f t="shared" si="0"/>
        <v>3</v>
      </c>
      <c r="DD12" s="12">
        <f t="shared" si="1"/>
        <v>30</v>
      </c>
      <c r="DF12" s="8">
        <f t="shared" si="2"/>
        <v>0</v>
      </c>
      <c r="DG12" s="8">
        <f t="shared" si="2"/>
        <v>0</v>
      </c>
      <c r="DH12" s="8">
        <f t="shared" si="2"/>
        <v>0</v>
      </c>
      <c r="DI12" s="8">
        <f t="shared" si="2"/>
        <v>0</v>
      </c>
      <c r="DJ12" s="8">
        <f t="shared" si="2"/>
        <v>0</v>
      </c>
      <c r="DK12" s="8">
        <f t="shared" si="2"/>
        <v>0</v>
      </c>
      <c r="DL12" s="8">
        <f t="shared" si="2"/>
        <v>0</v>
      </c>
      <c r="DO12" s="1" t="s">
        <v>12</v>
      </c>
      <c r="DP12" s="1" t="s">
        <v>13</v>
      </c>
      <c r="DR12" s="1" t="s">
        <v>273</v>
      </c>
    </row>
    <row r="13" spans="1:125" ht="16.5" x14ac:dyDescent="0.35">
      <c r="A13" t="s">
        <v>282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-1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1</v>
      </c>
      <c r="AJ13">
        <v>0</v>
      </c>
      <c r="AK13">
        <v>0</v>
      </c>
      <c r="AL13">
        <v>0</v>
      </c>
      <c r="AM13">
        <v>0</v>
      </c>
      <c r="AN13">
        <v>-1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-1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1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/>
      <c r="CP13" s="1">
        <v>9</v>
      </c>
      <c r="CQ13" s="1" t="s">
        <v>180</v>
      </c>
      <c r="CT13" s="13" t="s">
        <v>283</v>
      </c>
      <c r="CU13" s="12">
        <v>36.162361623616235</v>
      </c>
      <c r="CV13" s="12">
        <v>70.75</v>
      </c>
      <c r="CW13" s="12">
        <v>18.70848708487085</v>
      </c>
      <c r="CX13" s="12">
        <v>9.9630996309963109</v>
      </c>
      <c r="CY13" s="12">
        <v>1.2177121771217712</v>
      </c>
      <c r="CZ13" s="12">
        <v>0.51660516605166051</v>
      </c>
      <c r="DA13" s="5">
        <v>0</v>
      </c>
      <c r="DC13" s="12">
        <f>IF(CU13=0,(4*CU13+CV13-2*CW13-3*CX13+5*CY13-2*CZ13-DA13),(4*CU13+CV13-2*CW13-3*CX13+5*CY13-2*CZ13-DA13)/CU13)</f>
        <v>4.235025510204081</v>
      </c>
      <c r="DD13" s="12">
        <f>IF(CU13=0,DC13,DC13*CU13)</f>
        <v>153.14852398523982</v>
      </c>
      <c r="DF13" s="8">
        <f t="shared" si="2"/>
        <v>0</v>
      </c>
      <c r="DG13" s="8">
        <f t="shared" si="2"/>
        <v>0</v>
      </c>
      <c r="DH13" s="8">
        <f t="shared" si="2"/>
        <v>0</v>
      </c>
      <c r="DI13" s="8">
        <f t="shared" si="2"/>
        <v>0</v>
      </c>
      <c r="DJ13" s="8">
        <f t="shared" si="2"/>
        <v>0</v>
      </c>
      <c r="DK13" s="8">
        <f t="shared" si="2"/>
        <v>0</v>
      </c>
      <c r="DL13" s="8">
        <f t="shared" si="2"/>
        <v>0</v>
      </c>
      <c r="DO13" s="1" t="s">
        <v>14</v>
      </c>
      <c r="DP13" s="1" t="s">
        <v>15</v>
      </c>
      <c r="DR13" s="1" t="s">
        <v>273</v>
      </c>
    </row>
    <row r="14" spans="1:125" ht="16.5" x14ac:dyDescent="0.35">
      <c r="A14" t="s">
        <v>284</v>
      </c>
      <c r="B14">
        <v>1</v>
      </c>
      <c r="C14">
        <v>0</v>
      </c>
      <c r="D14">
        <v>0</v>
      </c>
      <c r="E14">
        <v>0</v>
      </c>
      <c r="F14">
        <v>0</v>
      </c>
      <c r="G14">
        <v>1</v>
      </c>
      <c r="H14">
        <v>0</v>
      </c>
      <c r="I14">
        <v>0</v>
      </c>
      <c r="J14">
        <v>-1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1</v>
      </c>
      <c r="BP14">
        <v>-1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/>
      <c r="CP14" s="1">
        <v>10</v>
      </c>
      <c r="CQ14" s="1" t="s">
        <v>181</v>
      </c>
      <c r="CT14" s="13" t="s">
        <v>285</v>
      </c>
      <c r="CU14" s="5">
        <v>6</v>
      </c>
      <c r="CV14" s="5">
        <v>5</v>
      </c>
      <c r="CW14" s="5">
        <v>7</v>
      </c>
      <c r="CX14" s="5">
        <v>0</v>
      </c>
      <c r="CY14" s="5">
        <v>0</v>
      </c>
      <c r="CZ14" s="5">
        <v>0</v>
      </c>
      <c r="DA14" s="5">
        <v>-3</v>
      </c>
      <c r="DC14" s="12">
        <f t="shared" ref="DC14:DC27" si="3">IF(CU14=0,(4*CU14+CV14-2*CW14-3*CX14+5*CY14-2*CZ14-DA14),(4*CU14+CV14-2*CW14-3*CX14+5*CY14-2*CZ14-DA14)/CU14)</f>
        <v>3</v>
      </c>
      <c r="DD14" s="12">
        <f t="shared" ref="DD14:DD27" si="4">IF(CU14=0,DC14,DC14*CU14)</f>
        <v>18</v>
      </c>
      <c r="DF14" s="8">
        <f t="shared" si="2"/>
        <v>0</v>
      </c>
      <c r="DG14" s="8">
        <f t="shared" si="2"/>
        <v>0</v>
      </c>
      <c r="DH14" s="8">
        <f t="shared" si="2"/>
        <v>0</v>
      </c>
      <c r="DI14" s="8">
        <f t="shared" si="2"/>
        <v>0</v>
      </c>
      <c r="DJ14" s="8">
        <f t="shared" si="2"/>
        <v>0</v>
      </c>
      <c r="DK14" s="8">
        <f t="shared" si="2"/>
        <v>0</v>
      </c>
      <c r="DL14" s="8">
        <f t="shared" si="2"/>
        <v>0</v>
      </c>
      <c r="DO14" s="1" t="s">
        <v>16</v>
      </c>
      <c r="DP14" s="1" t="s">
        <v>17</v>
      </c>
      <c r="DR14" s="1" t="s">
        <v>273</v>
      </c>
    </row>
    <row r="15" spans="1:125" ht="16.5" x14ac:dyDescent="0.35">
      <c r="A15" t="s">
        <v>286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1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-1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/>
      <c r="CP15" s="1">
        <v>11</v>
      </c>
      <c r="CQ15" s="1" t="s">
        <v>287</v>
      </c>
      <c r="CT15" s="13" t="s">
        <v>288</v>
      </c>
      <c r="CU15" s="5">
        <v>1</v>
      </c>
      <c r="CV15" s="5">
        <v>0</v>
      </c>
      <c r="CW15" s="5">
        <v>2</v>
      </c>
      <c r="CX15" s="5">
        <v>0</v>
      </c>
      <c r="CY15" s="5">
        <v>0</v>
      </c>
      <c r="CZ15" s="5">
        <v>0</v>
      </c>
      <c r="DA15" s="5">
        <v>0</v>
      </c>
      <c r="DC15" s="12">
        <f t="shared" si="3"/>
        <v>0</v>
      </c>
      <c r="DD15" s="12">
        <f t="shared" si="4"/>
        <v>0</v>
      </c>
      <c r="DF15" s="8">
        <f t="shared" si="2"/>
        <v>0</v>
      </c>
      <c r="DG15" s="8">
        <f t="shared" si="2"/>
        <v>0</v>
      </c>
      <c r="DH15" s="8">
        <f t="shared" si="2"/>
        <v>0</v>
      </c>
      <c r="DI15" s="8">
        <f t="shared" si="2"/>
        <v>0</v>
      </c>
      <c r="DJ15" s="8">
        <f t="shared" si="2"/>
        <v>0</v>
      </c>
      <c r="DK15" s="8">
        <f t="shared" si="2"/>
        <v>0</v>
      </c>
      <c r="DL15" s="8">
        <f t="shared" si="2"/>
        <v>0</v>
      </c>
      <c r="DO15" s="1" t="s">
        <v>18</v>
      </c>
      <c r="DP15" s="1" t="s">
        <v>19</v>
      </c>
      <c r="DR15" s="1" t="s">
        <v>273</v>
      </c>
    </row>
    <row r="16" spans="1:125" ht="16.5" x14ac:dyDescent="0.35">
      <c r="A16" t="s">
        <v>289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1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1</v>
      </c>
      <c r="AX16">
        <v>-1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/>
      <c r="CP16" s="1">
        <v>12</v>
      </c>
      <c r="CQ16" s="1" t="s">
        <v>290</v>
      </c>
      <c r="CT16" s="13" t="s">
        <v>288</v>
      </c>
      <c r="CU16" s="5">
        <v>1</v>
      </c>
      <c r="CV16" s="5">
        <v>0</v>
      </c>
      <c r="CW16" s="5">
        <v>2</v>
      </c>
      <c r="CX16" s="5">
        <v>0</v>
      </c>
      <c r="CY16" s="5">
        <v>0</v>
      </c>
      <c r="CZ16" s="5">
        <v>0</v>
      </c>
      <c r="DA16" s="5">
        <v>0</v>
      </c>
      <c r="DC16" s="12">
        <f t="shared" si="3"/>
        <v>0</v>
      </c>
      <c r="DD16" s="12">
        <f t="shared" si="4"/>
        <v>0</v>
      </c>
      <c r="DF16" s="8">
        <f t="shared" si="2"/>
        <v>0</v>
      </c>
      <c r="DG16" s="8">
        <f t="shared" si="2"/>
        <v>0</v>
      </c>
      <c r="DH16" s="8">
        <f t="shared" si="2"/>
        <v>0</v>
      </c>
      <c r="DI16" s="8">
        <f t="shared" si="2"/>
        <v>0</v>
      </c>
      <c r="DJ16" s="8">
        <f t="shared" si="2"/>
        <v>0</v>
      </c>
      <c r="DK16" s="8">
        <f t="shared" si="2"/>
        <v>0</v>
      </c>
      <c r="DL16" s="8">
        <f t="shared" si="2"/>
        <v>0</v>
      </c>
      <c r="DO16" s="1" t="s">
        <v>20</v>
      </c>
      <c r="DP16" s="1" t="s">
        <v>21</v>
      </c>
      <c r="DR16" s="1" t="s">
        <v>273</v>
      </c>
    </row>
    <row r="17" spans="1:122" ht="16.5" x14ac:dyDescent="0.3">
      <c r="A17" t="s">
        <v>291</v>
      </c>
      <c r="B17">
        <v>1</v>
      </c>
      <c r="C17">
        <v>0</v>
      </c>
      <c r="D17">
        <v>0</v>
      </c>
      <c r="E17">
        <v>0</v>
      </c>
      <c r="F17">
        <v>0</v>
      </c>
      <c r="G17">
        <v>-1</v>
      </c>
      <c r="H17">
        <v>0</v>
      </c>
      <c r="I17">
        <v>0</v>
      </c>
      <c r="J17">
        <v>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-1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-1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1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/>
      <c r="CP17" s="1">
        <v>13</v>
      </c>
      <c r="CQ17" s="1" t="s">
        <v>292</v>
      </c>
      <c r="CS17" s="13"/>
      <c r="CT17" s="16" t="s">
        <v>293</v>
      </c>
      <c r="CU17" s="5">
        <v>21</v>
      </c>
      <c r="CV17" s="5">
        <v>32</v>
      </c>
      <c r="CW17" s="5">
        <v>16</v>
      </c>
      <c r="CX17" s="5">
        <v>7</v>
      </c>
      <c r="CY17" s="5">
        <v>3</v>
      </c>
      <c r="CZ17" s="5">
        <v>1</v>
      </c>
      <c r="DA17" s="5">
        <v>-4</v>
      </c>
      <c r="DC17" s="12">
        <f t="shared" si="3"/>
        <v>3.8095238095238093</v>
      </c>
      <c r="DD17" s="12">
        <f t="shared" si="4"/>
        <v>80</v>
      </c>
      <c r="DF17" s="8">
        <f t="shared" si="2"/>
        <v>0</v>
      </c>
      <c r="DG17" s="8">
        <f t="shared" si="2"/>
        <v>0</v>
      </c>
      <c r="DH17" s="8">
        <f t="shared" si="2"/>
        <v>0</v>
      </c>
      <c r="DI17" s="8">
        <f t="shared" si="2"/>
        <v>0</v>
      </c>
      <c r="DJ17" s="8">
        <f t="shared" si="2"/>
        <v>0</v>
      </c>
      <c r="DK17" s="8">
        <f t="shared" si="2"/>
        <v>0</v>
      </c>
      <c r="DL17" s="8">
        <f t="shared" si="2"/>
        <v>0</v>
      </c>
      <c r="DO17" s="1" t="s">
        <v>22</v>
      </c>
      <c r="DP17" s="1" t="s">
        <v>23</v>
      </c>
      <c r="DR17" s="1" t="s">
        <v>273</v>
      </c>
    </row>
    <row r="18" spans="1:122" ht="16.5" x14ac:dyDescent="0.35">
      <c r="A18" t="s">
        <v>294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-1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1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-1</v>
      </c>
      <c r="AQ18">
        <v>1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1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/>
      <c r="CP18" s="1">
        <v>14</v>
      </c>
      <c r="CQ18" s="1" t="s">
        <v>185</v>
      </c>
      <c r="CT18" s="13" t="s">
        <v>295</v>
      </c>
      <c r="CU18" s="5">
        <v>3</v>
      </c>
      <c r="CV18" s="5">
        <v>5</v>
      </c>
      <c r="CW18" s="5">
        <v>6</v>
      </c>
      <c r="CX18" s="5">
        <v>0</v>
      </c>
      <c r="CY18" s="5">
        <v>1</v>
      </c>
      <c r="CZ18" s="5">
        <v>0</v>
      </c>
      <c r="DA18" s="5">
        <v>-2</v>
      </c>
      <c r="DC18" s="12">
        <f t="shared" si="3"/>
        <v>4</v>
      </c>
      <c r="DD18" s="12">
        <f t="shared" si="4"/>
        <v>12</v>
      </c>
      <c r="DF18" s="8">
        <f t="shared" si="2"/>
        <v>0</v>
      </c>
      <c r="DG18" s="8">
        <f t="shared" si="2"/>
        <v>0</v>
      </c>
      <c r="DH18" s="8">
        <f t="shared" si="2"/>
        <v>0</v>
      </c>
      <c r="DI18" s="8">
        <f t="shared" si="2"/>
        <v>0</v>
      </c>
      <c r="DJ18" s="8">
        <f t="shared" si="2"/>
        <v>0</v>
      </c>
      <c r="DK18" s="8">
        <f t="shared" si="2"/>
        <v>0</v>
      </c>
      <c r="DL18" s="8">
        <f t="shared" si="2"/>
        <v>0</v>
      </c>
      <c r="DO18" s="1" t="s">
        <v>24</v>
      </c>
      <c r="DP18" s="1" t="s">
        <v>25</v>
      </c>
      <c r="DR18" s="1" t="s">
        <v>273</v>
      </c>
    </row>
    <row r="19" spans="1:122" ht="16.5" x14ac:dyDescent="0.35">
      <c r="A19" t="s">
        <v>296</v>
      </c>
      <c r="B19">
        <v>1</v>
      </c>
      <c r="C19">
        <v>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-1</v>
      </c>
      <c r="AH19">
        <v>0</v>
      </c>
      <c r="AI19">
        <v>1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-1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/>
      <c r="CP19" s="1">
        <v>15</v>
      </c>
      <c r="CQ19" s="1" t="s">
        <v>186</v>
      </c>
      <c r="CT19" s="13" t="s">
        <v>297</v>
      </c>
      <c r="CU19" s="5">
        <v>4</v>
      </c>
      <c r="CV19" s="5">
        <v>7</v>
      </c>
      <c r="CW19" s="5">
        <v>7</v>
      </c>
      <c r="CX19" s="5">
        <v>0</v>
      </c>
      <c r="CY19" s="5">
        <v>1</v>
      </c>
      <c r="CZ19" s="5">
        <v>0</v>
      </c>
      <c r="DA19" s="5">
        <v>-2</v>
      </c>
      <c r="DC19" s="12">
        <f t="shared" si="3"/>
        <v>4</v>
      </c>
      <c r="DD19" s="12">
        <f t="shared" si="4"/>
        <v>16</v>
      </c>
      <c r="DF19" s="8">
        <f t="shared" si="2"/>
        <v>0</v>
      </c>
      <c r="DG19" s="8">
        <f t="shared" si="2"/>
        <v>0</v>
      </c>
      <c r="DH19" s="8">
        <f t="shared" si="2"/>
        <v>0</v>
      </c>
      <c r="DI19" s="8">
        <f t="shared" si="2"/>
        <v>0</v>
      </c>
      <c r="DJ19" s="8">
        <f t="shared" si="2"/>
        <v>0</v>
      </c>
      <c r="DK19" s="8">
        <f t="shared" si="2"/>
        <v>0</v>
      </c>
      <c r="DL19" s="8">
        <f t="shared" si="2"/>
        <v>0</v>
      </c>
      <c r="DO19" s="1" t="s">
        <v>26</v>
      </c>
      <c r="DP19" s="1" t="s">
        <v>27</v>
      </c>
      <c r="DR19" s="1" t="s">
        <v>273</v>
      </c>
    </row>
    <row r="20" spans="1:122" ht="16.5" x14ac:dyDescent="0.35">
      <c r="A20" t="s">
        <v>298</v>
      </c>
      <c r="B20">
        <v>0</v>
      </c>
      <c r="C20">
        <v>-1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-1</v>
      </c>
      <c r="AQ20">
        <v>1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1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/>
      <c r="CP20" s="1">
        <v>16</v>
      </c>
      <c r="CQ20" s="1" t="s">
        <v>187</v>
      </c>
      <c r="CT20" s="13" t="s">
        <v>299</v>
      </c>
      <c r="CU20" s="5">
        <v>2</v>
      </c>
      <c r="CV20" s="5">
        <v>6</v>
      </c>
      <c r="CW20" s="5">
        <v>1</v>
      </c>
      <c r="CX20" s="5">
        <v>0</v>
      </c>
      <c r="CY20" s="5">
        <v>0</v>
      </c>
      <c r="CZ20" s="5">
        <v>0</v>
      </c>
      <c r="DA20" s="5">
        <v>0</v>
      </c>
      <c r="DC20" s="12">
        <f t="shared" si="3"/>
        <v>6</v>
      </c>
      <c r="DD20" s="12">
        <f t="shared" si="4"/>
        <v>12</v>
      </c>
      <c r="DF20" s="8">
        <f t="shared" si="2"/>
        <v>0</v>
      </c>
      <c r="DG20" s="8">
        <f t="shared" si="2"/>
        <v>0</v>
      </c>
      <c r="DH20" s="8">
        <f t="shared" si="2"/>
        <v>0</v>
      </c>
      <c r="DI20" s="8">
        <f t="shared" si="2"/>
        <v>0</v>
      </c>
      <c r="DJ20" s="8">
        <f t="shared" si="2"/>
        <v>0</v>
      </c>
      <c r="DK20" s="8">
        <f t="shared" si="2"/>
        <v>0</v>
      </c>
      <c r="DL20" s="8">
        <f t="shared" si="2"/>
        <v>0</v>
      </c>
      <c r="DO20" s="1" t="s">
        <v>28</v>
      </c>
      <c r="DP20" s="1" t="s">
        <v>29</v>
      </c>
      <c r="DR20" s="1" t="s">
        <v>265</v>
      </c>
    </row>
    <row r="21" spans="1:122" ht="16.5" x14ac:dyDescent="0.35">
      <c r="A21" t="s">
        <v>300</v>
      </c>
      <c r="B21">
        <v>0</v>
      </c>
      <c r="C21">
        <v>-1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1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1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/>
      <c r="CP21" s="1">
        <v>17</v>
      </c>
      <c r="CQ21" s="1" t="s">
        <v>188</v>
      </c>
      <c r="CT21" s="13" t="s">
        <v>299</v>
      </c>
      <c r="CU21" s="5">
        <v>2</v>
      </c>
      <c r="CV21" s="5">
        <v>6</v>
      </c>
      <c r="CW21" s="5">
        <v>1</v>
      </c>
      <c r="CX21" s="5">
        <v>0</v>
      </c>
      <c r="CY21" s="5">
        <v>0</v>
      </c>
      <c r="CZ21" s="5">
        <v>0</v>
      </c>
      <c r="DA21" s="5">
        <v>0</v>
      </c>
      <c r="DC21" s="12">
        <f t="shared" si="3"/>
        <v>6</v>
      </c>
      <c r="DD21" s="12">
        <f t="shared" si="4"/>
        <v>12</v>
      </c>
      <c r="DF21" s="8">
        <f t="shared" ref="DF21:DL57" si="5">MMULT($C21:$CH21,CU$5:CU$88)</f>
        <v>0</v>
      </c>
      <c r="DG21" s="8">
        <f t="shared" si="5"/>
        <v>0</v>
      </c>
      <c r="DH21" s="8">
        <f t="shared" si="5"/>
        <v>0</v>
      </c>
      <c r="DI21" s="8">
        <f t="shared" si="5"/>
        <v>0</v>
      </c>
      <c r="DJ21" s="8">
        <f t="shared" si="5"/>
        <v>0</v>
      </c>
      <c r="DK21" s="8">
        <f t="shared" si="5"/>
        <v>0</v>
      </c>
      <c r="DL21" s="8">
        <f t="shared" si="5"/>
        <v>0</v>
      </c>
      <c r="DO21" s="1" t="s">
        <v>30</v>
      </c>
      <c r="DP21" s="1" t="s">
        <v>31</v>
      </c>
      <c r="DR21" s="1" t="s">
        <v>265</v>
      </c>
    </row>
    <row r="22" spans="1:122" ht="16.5" x14ac:dyDescent="0.35">
      <c r="A22" t="s">
        <v>301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1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1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-1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/>
      <c r="CP22" s="1">
        <v>18</v>
      </c>
      <c r="CQ22" s="1" t="s">
        <v>189</v>
      </c>
      <c r="CT22" s="13" t="s">
        <v>302</v>
      </c>
      <c r="CU22" s="5">
        <v>1</v>
      </c>
      <c r="CV22" s="5">
        <v>1</v>
      </c>
      <c r="CW22" s="5">
        <v>2</v>
      </c>
      <c r="CX22" s="5">
        <v>0</v>
      </c>
      <c r="CY22" s="5">
        <v>0</v>
      </c>
      <c r="CZ22" s="5">
        <v>0</v>
      </c>
      <c r="DA22" s="5">
        <v>-1</v>
      </c>
      <c r="DC22" s="12">
        <f t="shared" si="3"/>
        <v>2</v>
      </c>
      <c r="DD22" s="12">
        <f t="shared" si="4"/>
        <v>2</v>
      </c>
      <c r="DF22" s="8">
        <f t="shared" si="5"/>
        <v>0</v>
      </c>
      <c r="DG22" s="8">
        <f t="shared" si="5"/>
        <v>0</v>
      </c>
      <c r="DH22" s="8">
        <f t="shared" si="5"/>
        <v>0</v>
      </c>
      <c r="DI22" s="8">
        <f t="shared" si="5"/>
        <v>0</v>
      </c>
      <c r="DJ22" s="8">
        <f t="shared" si="5"/>
        <v>0</v>
      </c>
      <c r="DK22" s="8">
        <f t="shared" si="5"/>
        <v>0</v>
      </c>
      <c r="DL22" s="8">
        <f t="shared" si="5"/>
        <v>0</v>
      </c>
      <c r="DO22" s="1" t="s">
        <v>32</v>
      </c>
      <c r="DP22" s="1" t="s">
        <v>33</v>
      </c>
      <c r="DR22" s="1" t="s">
        <v>265</v>
      </c>
    </row>
    <row r="23" spans="1:122" ht="16.5" x14ac:dyDescent="0.35">
      <c r="A23" t="s">
        <v>303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-1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1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/>
      <c r="CP23" s="1">
        <v>19</v>
      </c>
      <c r="CQ23" s="1" t="s">
        <v>190</v>
      </c>
      <c r="CT23" s="13" t="s">
        <v>302</v>
      </c>
      <c r="CU23" s="5">
        <v>1</v>
      </c>
      <c r="CV23" s="5">
        <v>1</v>
      </c>
      <c r="CW23" s="5">
        <v>2</v>
      </c>
      <c r="CX23" s="5">
        <v>0</v>
      </c>
      <c r="CY23" s="5">
        <v>0</v>
      </c>
      <c r="CZ23" s="5">
        <v>0</v>
      </c>
      <c r="DA23" s="5">
        <v>-1</v>
      </c>
      <c r="DC23" s="12">
        <f t="shared" si="3"/>
        <v>2</v>
      </c>
      <c r="DD23" s="12">
        <f t="shared" si="4"/>
        <v>2</v>
      </c>
      <c r="DF23" s="8">
        <f t="shared" si="5"/>
        <v>0</v>
      </c>
      <c r="DG23" s="8">
        <f t="shared" si="5"/>
        <v>0</v>
      </c>
      <c r="DH23" s="8">
        <f t="shared" si="5"/>
        <v>0</v>
      </c>
      <c r="DI23" s="8">
        <f t="shared" si="5"/>
        <v>0</v>
      </c>
      <c r="DJ23" s="8">
        <f t="shared" si="5"/>
        <v>0</v>
      </c>
      <c r="DK23" s="8">
        <f t="shared" si="5"/>
        <v>0</v>
      </c>
      <c r="DL23" s="8">
        <f t="shared" si="5"/>
        <v>0</v>
      </c>
      <c r="DO23" s="1" t="s">
        <v>34</v>
      </c>
      <c r="DP23" s="1" t="s">
        <v>35</v>
      </c>
      <c r="DR23" s="1" t="s">
        <v>273</v>
      </c>
    </row>
    <row r="24" spans="1:122" ht="16.5" x14ac:dyDescent="0.35">
      <c r="A24" t="s">
        <v>304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1</v>
      </c>
      <c r="BG24">
        <v>-1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/>
      <c r="CP24" s="1">
        <v>20</v>
      </c>
      <c r="CQ24" s="1" t="s">
        <v>191</v>
      </c>
      <c r="CT24" s="13" t="s">
        <v>305</v>
      </c>
      <c r="CU24" s="5">
        <v>6</v>
      </c>
      <c r="CV24" s="5">
        <v>11</v>
      </c>
      <c r="CW24" s="5">
        <v>9</v>
      </c>
      <c r="CX24" s="5">
        <v>0</v>
      </c>
      <c r="CY24" s="5">
        <v>1</v>
      </c>
      <c r="CZ24" s="5">
        <v>0</v>
      </c>
      <c r="DA24" s="5">
        <v>-2</v>
      </c>
      <c r="DC24" s="12">
        <f t="shared" si="3"/>
        <v>4</v>
      </c>
      <c r="DD24" s="12">
        <f t="shared" si="4"/>
        <v>24</v>
      </c>
      <c r="DF24" s="8">
        <f t="shared" si="5"/>
        <v>0</v>
      </c>
      <c r="DG24" s="8">
        <f t="shared" si="5"/>
        <v>0</v>
      </c>
      <c r="DH24" s="8">
        <f t="shared" si="5"/>
        <v>0</v>
      </c>
      <c r="DI24" s="8">
        <f t="shared" si="5"/>
        <v>0</v>
      </c>
      <c r="DJ24" s="8">
        <f t="shared" si="5"/>
        <v>0</v>
      </c>
      <c r="DK24" s="8">
        <f t="shared" si="5"/>
        <v>0</v>
      </c>
      <c r="DL24" s="8">
        <f t="shared" si="5"/>
        <v>0</v>
      </c>
      <c r="DO24" s="1" t="s">
        <v>36</v>
      </c>
      <c r="DP24" s="1" t="s">
        <v>37</v>
      </c>
      <c r="DR24" s="1" t="s">
        <v>273</v>
      </c>
    </row>
    <row r="25" spans="1:122" ht="16.5" x14ac:dyDescent="0.35">
      <c r="A25" t="s">
        <v>306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1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-1</v>
      </c>
      <c r="BG25">
        <v>0</v>
      </c>
      <c r="BH25">
        <v>0</v>
      </c>
      <c r="BI25">
        <v>1</v>
      </c>
      <c r="BJ25">
        <v>0</v>
      </c>
      <c r="BK25">
        <v>0</v>
      </c>
      <c r="BL25">
        <v>0</v>
      </c>
      <c r="BM25">
        <v>-1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/>
      <c r="CP25" s="1">
        <v>21</v>
      </c>
      <c r="CQ25" s="1" t="s">
        <v>192</v>
      </c>
      <c r="CT25" s="13" t="s">
        <v>307</v>
      </c>
      <c r="CU25" s="5">
        <v>6</v>
      </c>
      <c r="CV25" s="5">
        <v>10</v>
      </c>
      <c r="CW25" s="5">
        <v>12</v>
      </c>
      <c r="CX25" s="5">
        <v>0</v>
      </c>
      <c r="CY25" s="5">
        <v>2</v>
      </c>
      <c r="CZ25" s="5">
        <v>0</v>
      </c>
      <c r="DA25" s="5">
        <v>-4</v>
      </c>
      <c r="DC25" s="12">
        <f t="shared" si="3"/>
        <v>4</v>
      </c>
      <c r="DD25" s="12">
        <f t="shared" si="4"/>
        <v>24</v>
      </c>
      <c r="DF25" s="8">
        <f t="shared" si="5"/>
        <v>0</v>
      </c>
      <c r="DG25" s="8">
        <f t="shared" si="5"/>
        <v>0</v>
      </c>
      <c r="DH25" s="8">
        <f t="shared" si="5"/>
        <v>0</v>
      </c>
      <c r="DI25" s="8">
        <f t="shared" si="5"/>
        <v>0</v>
      </c>
      <c r="DJ25" s="8">
        <f t="shared" si="5"/>
        <v>0</v>
      </c>
      <c r="DK25" s="8">
        <f t="shared" si="5"/>
        <v>0</v>
      </c>
      <c r="DL25" s="8">
        <f t="shared" si="5"/>
        <v>0</v>
      </c>
      <c r="DO25" s="1" t="s">
        <v>38</v>
      </c>
      <c r="DP25" s="1" t="s">
        <v>39</v>
      </c>
      <c r="DR25" s="1" t="s">
        <v>273</v>
      </c>
    </row>
    <row r="26" spans="1:122" ht="16.5" x14ac:dyDescent="0.35">
      <c r="A26" t="s">
        <v>308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1</v>
      </c>
      <c r="R26">
        <v>0</v>
      </c>
      <c r="S26">
        <v>0</v>
      </c>
      <c r="T26">
        <v>0</v>
      </c>
      <c r="U26">
        <v>0</v>
      </c>
      <c r="V26">
        <v>1</v>
      </c>
      <c r="W26">
        <v>0</v>
      </c>
      <c r="X26">
        <v>0</v>
      </c>
      <c r="Y26">
        <v>-1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-1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/>
      <c r="CP26" s="1">
        <v>22</v>
      </c>
      <c r="CQ26" s="1" t="s">
        <v>193</v>
      </c>
      <c r="CT26" s="13" t="s">
        <v>309</v>
      </c>
      <c r="CU26" s="5">
        <v>4</v>
      </c>
      <c r="CV26" s="5">
        <v>2</v>
      </c>
      <c r="CW26" s="5">
        <v>4</v>
      </c>
      <c r="CX26" s="5">
        <v>0</v>
      </c>
      <c r="CY26" s="5">
        <v>0</v>
      </c>
      <c r="CZ26" s="5">
        <v>0</v>
      </c>
      <c r="DA26" s="5">
        <v>-2</v>
      </c>
      <c r="DC26" s="12">
        <f t="shared" si="3"/>
        <v>3</v>
      </c>
      <c r="DD26" s="12">
        <f t="shared" si="4"/>
        <v>12</v>
      </c>
      <c r="DF26" s="8">
        <f t="shared" si="5"/>
        <v>0</v>
      </c>
      <c r="DG26" s="8">
        <f t="shared" si="5"/>
        <v>0</v>
      </c>
      <c r="DH26" s="8">
        <f t="shared" si="5"/>
        <v>0</v>
      </c>
      <c r="DI26" s="8">
        <f t="shared" si="5"/>
        <v>0</v>
      </c>
      <c r="DJ26" s="8">
        <f t="shared" si="5"/>
        <v>0</v>
      </c>
      <c r="DK26" s="8">
        <f t="shared" si="5"/>
        <v>0</v>
      </c>
      <c r="DL26" s="8">
        <f t="shared" si="5"/>
        <v>0</v>
      </c>
      <c r="DO26" s="1" t="s">
        <v>40</v>
      </c>
      <c r="DP26" s="1" t="s">
        <v>41</v>
      </c>
      <c r="DR26" s="1" t="s">
        <v>273</v>
      </c>
    </row>
    <row r="27" spans="1:122" ht="16.5" x14ac:dyDescent="0.25">
      <c r="A27" t="s">
        <v>310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-1</v>
      </c>
      <c r="R27">
        <v>0</v>
      </c>
      <c r="S27">
        <v>0</v>
      </c>
      <c r="T27">
        <v>0</v>
      </c>
      <c r="U27">
        <v>0</v>
      </c>
      <c r="V27">
        <v>1</v>
      </c>
      <c r="W27">
        <v>0</v>
      </c>
      <c r="X27">
        <v>0</v>
      </c>
      <c r="Y27">
        <v>1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-1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/>
      <c r="CP27" s="1">
        <v>23</v>
      </c>
      <c r="CQ27" s="1" t="s">
        <v>194</v>
      </c>
      <c r="CT27" s="16" t="s">
        <v>295</v>
      </c>
      <c r="CU27" s="5">
        <v>3</v>
      </c>
      <c r="CV27" s="5">
        <v>5</v>
      </c>
      <c r="CW27" s="5">
        <v>6</v>
      </c>
      <c r="CX27" s="5">
        <v>0</v>
      </c>
      <c r="CY27" s="5">
        <v>1</v>
      </c>
      <c r="CZ27" s="5">
        <v>0</v>
      </c>
      <c r="DA27" s="5">
        <v>-2</v>
      </c>
      <c r="DC27" s="12">
        <f t="shared" si="3"/>
        <v>4</v>
      </c>
      <c r="DD27" s="12">
        <f t="shared" si="4"/>
        <v>12</v>
      </c>
      <c r="DF27" s="8">
        <f t="shared" si="5"/>
        <v>0</v>
      </c>
      <c r="DG27" s="8">
        <f t="shared" si="5"/>
        <v>0</v>
      </c>
      <c r="DH27" s="8">
        <f t="shared" si="5"/>
        <v>0</v>
      </c>
      <c r="DI27" s="8">
        <f t="shared" si="5"/>
        <v>0</v>
      </c>
      <c r="DJ27" s="8">
        <f t="shared" si="5"/>
        <v>0</v>
      </c>
      <c r="DK27" s="8">
        <f t="shared" si="5"/>
        <v>0</v>
      </c>
      <c r="DL27" s="8">
        <f t="shared" si="5"/>
        <v>0</v>
      </c>
      <c r="DO27" s="1" t="s">
        <v>42</v>
      </c>
      <c r="DP27" s="1" t="s">
        <v>43</v>
      </c>
      <c r="DR27" s="1" t="s">
        <v>273</v>
      </c>
    </row>
    <row r="28" spans="1:122" ht="16.5" x14ac:dyDescent="0.35">
      <c r="A28" t="s">
        <v>311</v>
      </c>
      <c r="B28">
        <v>0</v>
      </c>
      <c r="C28">
        <v>0</v>
      </c>
      <c r="D28">
        <v>0</v>
      </c>
      <c r="E28">
        <v>0</v>
      </c>
      <c r="F28">
        <v>-1</v>
      </c>
      <c r="G28">
        <v>0</v>
      </c>
      <c r="H28">
        <v>0</v>
      </c>
      <c r="I28">
        <v>0</v>
      </c>
      <c r="J28">
        <v>0</v>
      </c>
      <c r="K28">
        <v>0</v>
      </c>
      <c r="L28">
        <v>1</v>
      </c>
      <c r="M28">
        <v>0</v>
      </c>
      <c r="N28">
        <v>0</v>
      </c>
      <c r="O28">
        <v>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-1</v>
      </c>
      <c r="AH28">
        <v>0</v>
      </c>
      <c r="AI28">
        <v>1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-1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/>
      <c r="CP28" s="1">
        <v>24</v>
      </c>
      <c r="CQ28" s="1" t="s">
        <v>195</v>
      </c>
      <c r="CT28" s="13" t="s">
        <v>312</v>
      </c>
      <c r="CU28" s="5">
        <v>6</v>
      </c>
      <c r="CV28" s="5">
        <v>12</v>
      </c>
      <c r="CW28" s="5">
        <v>6</v>
      </c>
      <c r="CX28" s="5">
        <v>0</v>
      </c>
      <c r="CY28" s="5">
        <v>0</v>
      </c>
      <c r="CZ28" s="5">
        <v>0</v>
      </c>
      <c r="DA28" s="5">
        <v>0</v>
      </c>
      <c r="DC28" s="12">
        <f t="shared" si="0"/>
        <v>4</v>
      </c>
      <c r="DD28" s="12">
        <f t="shared" si="1"/>
        <v>24</v>
      </c>
      <c r="DF28" s="8">
        <f t="shared" si="5"/>
        <v>0</v>
      </c>
      <c r="DG28" s="8">
        <f t="shared" si="5"/>
        <v>0</v>
      </c>
      <c r="DH28" s="8">
        <f t="shared" si="5"/>
        <v>0</v>
      </c>
      <c r="DI28" s="8">
        <f t="shared" si="5"/>
        <v>0</v>
      </c>
      <c r="DJ28" s="8">
        <f t="shared" si="5"/>
        <v>0</v>
      </c>
      <c r="DK28" s="8">
        <f t="shared" si="5"/>
        <v>0</v>
      </c>
      <c r="DL28" s="8">
        <f t="shared" si="5"/>
        <v>0</v>
      </c>
      <c r="DO28" s="1" t="s">
        <v>44</v>
      </c>
      <c r="DP28" s="1" t="s">
        <v>45</v>
      </c>
      <c r="DR28" s="1" t="s">
        <v>265</v>
      </c>
    </row>
    <row r="29" spans="1:122" ht="16.5" x14ac:dyDescent="0.35">
      <c r="A29" t="s">
        <v>313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-1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1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/>
      <c r="CP29" s="1">
        <v>25</v>
      </c>
      <c r="CQ29" s="1" t="s">
        <v>196</v>
      </c>
      <c r="CT29" s="13" t="s">
        <v>305</v>
      </c>
      <c r="CU29" s="5">
        <v>6</v>
      </c>
      <c r="CV29" s="5">
        <v>11</v>
      </c>
      <c r="CW29" s="5">
        <v>9</v>
      </c>
      <c r="CX29" s="5">
        <v>0</v>
      </c>
      <c r="CY29" s="5">
        <v>1</v>
      </c>
      <c r="CZ29" s="5">
        <v>0</v>
      </c>
      <c r="DA29" s="5">
        <v>-2</v>
      </c>
      <c r="DC29" s="12">
        <f t="shared" si="0"/>
        <v>4</v>
      </c>
      <c r="DD29" s="12">
        <f t="shared" si="1"/>
        <v>24</v>
      </c>
      <c r="DF29" s="8">
        <f t="shared" si="5"/>
        <v>0</v>
      </c>
      <c r="DG29" s="8">
        <f t="shared" si="5"/>
        <v>0</v>
      </c>
      <c r="DH29" s="8">
        <f t="shared" si="5"/>
        <v>0</v>
      </c>
      <c r="DI29" s="8">
        <f t="shared" si="5"/>
        <v>0</v>
      </c>
      <c r="DJ29" s="8">
        <f t="shared" si="5"/>
        <v>0</v>
      </c>
      <c r="DK29" s="8">
        <f t="shared" si="5"/>
        <v>0</v>
      </c>
      <c r="DL29" s="8">
        <f t="shared" si="5"/>
        <v>0</v>
      </c>
      <c r="DO29" s="1" t="s">
        <v>46</v>
      </c>
      <c r="DP29" s="1" t="s">
        <v>47</v>
      </c>
      <c r="DR29" s="1" t="s">
        <v>273</v>
      </c>
    </row>
    <row r="30" spans="1:122" ht="16.5" x14ac:dyDescent="0.35">
      <c r="A30" t="s">
        <v>314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1</v>
      </c>
      <c r="I30">
        <v>0</v>
      </c>
      <c r="J30">
        <v>0</v>
      </c>
      <c r="K30">
        <v>0</v>
      </c>
      <c r="L30">
        <v>0</v>
      </c>
      <c r="M30">
        <v>1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-1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-1</v>
      </c>
      <c r="AQ30">
        <v>1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/>
      <c r="CP30" s="1">
        <v>26</v>
      </c>
      <c r="CQ30" s="1" t="s">
        <v>197</v>
      </c>
      <c r="CT30" s="13" t="s">
        <v>312</v>
      </c>
      <c r="CU30" s="5">
        <v>6</v>
      </c>
      <c r="CV30" s="5">
        <v>12</v>
      </c>
      <c r="CW30" s="5">
        <v>6</v>
      </c>
      <c r="CX30" s="5">
        <v>0</v>
      </c>
      <c r="CY30" s="5">
        <v>0</v>
      </c>
      <c r="CZ30" s="5">
        <v>0</v>
      </c>
      <c r="DA30" s="5">
        <v>0</v>
      </c>
      <c r="DC30" s="12">
        <f t="shared" si="0"/>
        <v>4</v>
      </c>
      <c r="DD30" s="12">
        <f t="shared" si="1"/>
        <v>24</v>
      </c>
      <c r="DF30" s="8">
        <f t="shared" si="5"/>
        <v>0</v>
      </c>
      <c r="DG30" s="8">
        <f t="shared" si="5"/>
        <v>0</v>
      </c>
      <c r="DH30" s="8">
        <f t="shared" si="5"/>
        <v>0</v>
      </c>
      <c r="DI30" s="8">
        <f t="shared" si="5"/>
        <v>0</v>
      </c>
      <c r="DJ30" s="8">
        <f t="shared" si="5"/>
        <v>0</v>
      </c>
      <c r="DK30" s="8">
        <f t="shared" si="5"/>
        <v>0</v>
      </c>
      <c r="DL30" s="8">
        <f t="shared" si="5"/>
        <v>0</v>
      </c>
      <c r="DO30" s="1" t="s">
        <v>48</v>
      </c>
      <c r="DP30" s="1" t="s">
        <v>49</v>
      </c>
      <c r="DR30" s="1" t="s">
        <v>265</v>
      </c>
    </row>
    <row r="31" spans="1:122" ht="16.5" x14ac:dyDescent="0.35">
      <c r="A31" t="s">
        <v>315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-1</v>
      </c>
      <c r="I31">
        <v>0</v>
      </c>
      <c r="J31">
        <v>0</v>
      </c>
      <c r="K31">
        <v>0</v>
      </c>
      <c r="L31">
        <v>0</v>
      </c>
      <c r="M31">
        <v>1</v>
      </c>
      <c r="N31">
        <v>0</v>
      </c>
      <c r="O31">
        <v>-1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-1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1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/>
      <c r="CP31" s="1">
        <v>27</v>
      </c>
      <c r="CQ31" s="1" t="s">
        <v>198</v>
      </c>
      <c r="CT31" s="13" t="s">
        <v>316</v>
      </c>
      <c r="CU31" s="5">
        <v>5</v>
      </c>
      <c r="CV31" s="5">
        <v>8</v>
      </c>
      <c r="CW31" s="5">
        <v>4</v>
      </c>
      <c r="CX31" s="5">
        <v>1</v>
      </c>
      <c r="CY31" s="5">
        <v>0</v>
      </c>
      <c r="CZ31" s="5">
        <v>0</v>
      </c>
      <c r="DA31" s="5">
        <v>-1</v>
      </c>
      <c r="DC31" s="12">
        <f t="shared" si="0"/>
        <v>3.6</v>
      </c>
      <c r="DD31" s="12">
        <f t="shared" si="1"/>
        <v>18</v>
      </c>
      <c r="DF31" s="8">
        <f t="shared" si="5"/>
        <v>0</v>
      </c>
      <c r="DG31" s="8">
        <f t="shared" si="5"/>
        <v>0</v>
      </c>
      <c r="DH31" s="8">
        <f t="shared" si="5"/>
        <v>0</v>
      </c>
      <c r="DI31" s="8">
        <f t="shared" si="5"/>
        <v>0</v>
      </c>
      <c r="DJ31" s="8">
        <f t="shared" si="5"/>
        <v>0</v>
      </c>
      <c r="DK31" s="8">
        <f t="shared" si="5"/>
        <v>0</v>
      </c>
      <c r="DL31" s="8">
        <f t="shared" si="5"/>
        <v>0</v>
      </c>
      <c r="DO31" s="1" t="s">
        <v>50</v>
      </c>
      <c r="DP31" s="1" t="s">
        <v>51</v>
      </c>
      <c r="DR31" s="1" t="s">
        <v>265</v>
      </c>
    </row>
    <row r="32" spans="1:122" ht="16.5" x14ac:dyDescent="0.35">
      <c r="A32" t="s">
        <v>317</v>
      </c>
      <c r="B32">
        <v>1</v>
      </c>
      <c r="C32">
        <v>0</v>
      </c>
      <c r="D32">
        <v>0</v>
      </c>
      <c r="E32">
        <v>0</v>
      </c>
      <c r="F32">
        <v>0</v>
      </c>
      <c r="G32">
        <v>-1</v>
      </c>
      <c r="H32">
        <v>0</v>
      </c>
      <c r="I32">
        <v>0</v>
      </c>
      <c r="J32">
        <v>1</v>
      </c>
      <c r="K32">
        <v>0</v>
      </c>
      <c r="L32">
        <v>0</v>
      </c>
      <c r="M32">
        <v>0</v>
      </c>
      <c r="N32">
        <v>0</v>
      </c>
      <c r="O32">
        <v>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-1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1</v>
      </c>
      <c r="BL32">
        <v>-1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/>
      <c r="CP32" s="1">
        <v>28</v>
      </c>
      <c r="CQ32" s="1" t="s">
        <v>199</v>
      </c>
      <c r="CT32" s="13" t="s">
        <v>318</v>
      </c>
      <c r="CU32" s="5">
        <v>5</v>
      </c>
      <c r="CV32" s="5">
        <v>10</v>
      </c>
      <c r="CW32" s="5">
        <v>3</v>
      </c>
      <c r="CX32" s="5">
        <v>2</v>
      </c>
      <c r="CY32" s="5">
        <v>0</v>
      </c>
      <c r="CZ32" s="5">
        <v>0</v>
      </c>
      <c r="DA32" s="5">
        <v>0</v>
      </c>
      <c r="DC32" s="12">
        <f t="shared" si="0"/>
        <v>3.6</v>
      </c>
      <c r="DD32" s="12">
        <f t="shared" si="1"/>
        <v>18</v>
      </c>
      <c r="DF32" s="8">
        <f t="shared" si="5"/>
        <v>0</v>
      </c>
      <c r="DG32" s="8">
        <f t="shared" si="5"/>
        <v>0</v>
      </c>
      <c r="DH32" s="8">
        <f t="shared" si="5"/>
        <v>0</v>
      </c>
      <c r="DI32" s="8">
        <f t="shared" si="5"/>
        <v>0</v>
      </c>
      <c r="DJ32" s="8">
        <f t="shared" si="5"/>
        <v>0</v>
      </c>
      <c r="DK32" s="8">
        <f t="shared" si="5"/>
        <v>0</v>
      </c>
      <c r="DL32" s="8">
        <f t="shared" si="5"/>
        <v>0</v>
      </c>
      <c r="DO32" s="1" t="s">
        <v>52</v>
      </c>
      <c r="DP32" s="1" t="s">
        <v>53</v>
      </c>
      <c r="DR32" s="1" t="s">
        <v>273</v>
      </c>
    </row>
    <row r="33" spans="1:122" ht="16.5" x14ac:dyDescent="0.35">
      <c r="A33" t="s">
        <v>319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1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-1</v>
      </c>
      <c r="BE33">
        <v>1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-1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-4.5999999999999999E-2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/>
      <c r="CP33" s="1">
        <v>29</v>
      </c>
      <c r="CQ33" s="1" t="s">
        <v>200</v>
      </c>
      <c r="CT33" s="13" t="s">
        <v>320</v>
      </c>
      <c r="CU33" s="5">
        <v>2</v>
      </c>
      <c r="CV33" s="5">
        <v>1</v>
      </c>
      <c r="CW33" s="5">
        <v>3</v>
      </c>
      <c r="CX33" s="5">
        <v>0</v>
      </c>
      <c r="CY33" s="5">
        <v>0</v>
      </c>
      <c r="CZ33" s="5">
        <v>0</v>
      </c>
      <c r="DA33" s="5">
        <v>-1</v>
      </c>
      <c r="DC33" s="12">
        <f t="shared" si="0"/>
        <v>2</v>
      </c>
      <c r="DD33" s="12">
        <f t="shared" si="1"/>
        <v>4</v>
      </c>
      <c r="DF33" s="8">
        <f t="shared" si="5"/>
        <v>0</v>
      </c>
      <c r="DG33" s="8">
        <f t="shared" si="5"/>
        <v>0</v>
      </c>
      <c r="DH33" s="8">
        <f t="shared" si="5"/>
        <v>0</v>
      </c>
      <c r="DI33" s="8">
        <f t="shared" si="5"/>
        <v>0</v>
      </c>
      <c r="DJ33" s="8">
        <f t="shared" si="5"/>
        <v>0</v>
      </c>
      <c r="DK33" s="8">
        <f t="shared" si="5"/>
        <v>0</v>
      </c>
      <c r="DL33" s="8">
        <f t="shared" si="5"/>
        <v>0</v>
      </c>
      <c r="DO33" s="1" t="s">
        <v>54</v>
      </c>
      <c r="DP33" s="1" t="s">
        <v>321</v>
      </c>
      <c r="DR33" s="1" t="s">
        <v>265</v>
      </c>
    </row>
    <row r="34" spans="1:122" x14ac:dyDescent="0.25">
      <c r="A34" t="s">
        <v>322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-1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1</v>
      </c>
      <c r="BE34">
        <v>-1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1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-4.5999999999999999E-2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/>
      <c r="CP34" s="1">
        <v>30</v>
      </c>
      <c r="CQ34" s="1" t="s">
        <v>201</v>
      </c>
      <c r="CT34" s="5" t="s">
        <v>160</v>
      </c>
      <c r="CU34" s="5">
        <v>0</v>
      </c>
      <c r="CV34" s="5">
        <v>1</v>
      </c>
      <c r="CW34" s="5">
        <v>0</v>
      </c>
      <c r="CX34" s="5">
        <v>0</v>
      </c>
      <c r="CY34" s="5">
        <v>0</v>
      </c>
      <c r="CZ34" s="5">
        <v>0</v>
      </c>
      <c r="DA34" s="5">
        <v>1</v>
      </c>
      <c r="DC34" s="12">
        <f t="shared" si="0"/>
        <v>0</v>
      </c>
      <c r="DD34" s="12">
        <f t="shared" si="1"/>
        <v>0</v>
      </c>
      <c r="DF34" s="8">
        <f t="shared" si="5"/>
        <v>0</v>
      </c>
      <c r="DG34" s="8">
        <f t="shared" si="5"/>
        <v>0</v>
      </c>
      <c r="DH34" s="8">
        <f t="shared" si="5"/>
        <v>0</v>
      </c>
      <c r="DI34" s="8">
        <f t="shared" si="5"/>
        <v>0</v>
      </c>
      <c r="DJ34" s="8">
        <f t="shared" si="5"/>
        <v>0</v>
      </c>
      <c r="DK34" s="8">
        <f t="shared" si="5"/>
        <v>0</v>
      </c>
      <c r="DL34" s="8">
        <f t="shared" si="5"/>
        <v>0</v>
      </c>
      <c r="DO34" s="1" t="s">
        <v>55</v>
      </c>
      <c r="DP34" s="1" t="s">
        <v>323</v>
      </c>
      <c r="DR34" s="1" t="s">
        <v>265</v>
      </c>
    </row>
    <row r="35" spans="1:122" ht="16.5" x14ac:dyDescent="0.35">
      <c r="A35" t="s">
        <v>324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-1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-1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1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/>
      <c r="CP35" s="1">
        <v>31</v>
      </c>
      <c r="CQ35" s="1" t="s">
        <v>202</v>
      </c>
      <c r="CT35" s="13" t="s">
        <v>325</v>
      </c>
      <c r="CU35" s="5">
        <v>0</v>
      </c>
      <c r="CV35" s="5">
        <v>2</v>
      </c>
      <c r="CW35" s="5">
        <v>1</v>
      </c>
      <c r="CX35" s="5">
        <v>0</v>
      </c>
      <c r="CY35" s="5">
        <v>0</v>
      </c>
      <c r="CZ35" s="5">
        <v>0</v>
      </c>
      <c r="DA35" s="5">
        <v>0</v>
      </c>
      <c r="DC35" s="12">
        <f t="shared" si="0"/>
        <v>0</v>
      </c>
      <c r="DD35" s="12">
        <f t="shared" si="1"/>
        <v>0</v>
      </c>
      <c r="DF35" s="8">
        <f t="shared" si="5"/>
        <v>0</v>
      </c>
      <c r="DG35" s="8">
        <f t="shared" si="5"/>
        <v>0</v>
      </c>
      <c r="DH35" s="8">
        <f t="shared" si="5"/>
        <v>0</v>
      </c>
      <c r="DI35" s="8">
        <f t="shared" si="5"/>
        <v>0</v>
      </c>
      <c r="DJ35" s="8">
        <f t="shared" si="5"/>
        <v>0</v>
      </c>
      <c r="DK35" s="8">
        <f t="shared" si="5"/>
        <v>0</v>
      </c>
      <c r="DL35" s="8">
        <f t="shared" si="5"/>
        <v>0</v>
      </c>
      <c r="DO35" s="1" t="s">
        <v>56</v>
      </c>
      <c r="DP35" s="1" t="s">
        <v>57</v>
      </c>
      <c r="DR35" s="1" t="s">
        <v>273</v>
      </c>
    </row>
    <row r="36" spans="1:122" ht="16.5" x14ac:dyDescent="0.35">
      <c r="A36" t="s">
        <v>326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1</v>
      </c>
      <c r="AJ36">
        <v>0</v>
      </c>
      <c r="AK36">
        <v>0</v>
      </c>
      <c r="AL36">
        <v>0</v>
      </c>
      <c r="AM36">
        <v>-1</v>
      </c>
      <c r="AN36">
        <v>-1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1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/>
      <c r="CP36" s="1">
        <v>32</v>
      </c>
      <c r="CQ36" s="1" t="s">
        <v>203</v>
      </c>
      <c r="CT36" s="13" t="s">
        <v>325</v>
      </c>
      <c r="CU36" s="5">
        <v>0</v>
      </c>
      <c r="CV36" s="5">
        <v>2</v>
      </c>
      <c r="CW36" s="5">
        <v>1</v>
      </c>
      <c r="CX36" s="5">
        <v>0</v>
      </c>
      <c r="CY36" s="5">
        <v>0</v>
      </c>
      <c r="CZ36" s="5">
        <v>0</v>
      </c>
      <c r="DA36" s="5">
        <v>0</v>
      </c>
      <c r="DC36" s="12">
        <f t="shared" si="0"/>
        <v>0</v>
      </c>
      <c r="DD36" s="12">
        <f t="shared" si="1"/>
        <v>0</v>
      </c>
      <c r="DF36" s="8">
        <f t="shared" si="5"/>
        <v>0</v>
      </c>
      <c r="DG36" s="8">
        <f t="shared" si="5"/>
        <v>0</v>
      </c>
      <c r="DH36" s="8">
        <f t="shared" si="5"/>
        <v>0</v>
      </c>
      <c r="DI36" s="8">
        <f t="shared" si="5"/>
        <v>0</v>
      </c>
      <c r="DJ36" s="8">
        <f t="shared" si="5"/>
        <v>0</v>
      </c>
      <c r="DK36" s="8">
        <f t="shared" si="5"/>
        <v>0</v>
      </c>
      <c r="DL36" s="8">
        <f t="shared" si="5"/>
        <v>0</v>
      </c>
      <c r="DO36" s="1" t="s">
        <v>58</v>
      </c>
      <c r="DP36" s="1" t="s">
        <v>59</v>
      </c>
      <c r="DR36" s="1" t="s">
        <v>273</v>
      </c>
    </row>
    <row r="37" spans="1:122" ht="15" customHeight="1" x14ac:dyDescent="0.25">
      <c r="A37" t="s">
        <v>327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-1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-1</v>
      </c>
      <c r="AH37">
        <v>0</v>
      </c>
      <c r="AI37">
        <v>1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1</v>
      </c>
      <c r="AW37">
        <v>-1</v>
      </c>
      <c r="AX37">
        <v>0</v>
      </c>
      <c r="AY37">
        <v>1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/>
      <c r="CP37" s="1">
        <v>33</v>
      </c>
      <c r="CQ37" s="1" t="s">
        <v>204</v>
      </c>
      <c r="CT37" s="5" t="s">
        <v>160</v>
      </c>
      <c r="CU37" s="5">
        <v>0</v>
      </c>
      <c r="CV37" s="5">
        <v>1</v>
      </c>
      <c r="CW37" s="5">
        <v>0</v>
      </c>
      <c r="CX37" s="5">
        <v>0</v>
      </c>
      <c r="CY37" s="5">
        <v>0</v>
      </c>
      <c r="CZ37" s="5">
        <v>0</v>
      </c>
      <c r="DA37" s="5">
        <v>1</v>
      </c>
      <c r="DC37" s="12">
        <f t="shared" si="0"/>
        <v>0</v>
      </c>
      <c r="DD37" s="12">
        <f t="shared" si="1"/>
        <v>0</v>
      </c>
      <c r="DF37" s="8">
        <f t="shared" si="5"/>
        <v>0</v>
      </c>
      <c r="DG37" s="8">
        <f t="shared" si="5"/>
        <v>0</v>
      </c>
      <c r="DH37" s="8">
        <f t="shared" si="5"/>
        <v>0</v>
      </c>
      <c r="DI37" s="8">
        <f t="shared" si="5"/>
        <v>0</v>
      </c>
      <c r="DJ37" s="8">
        <f t="shared" si="5"/>
        <v>0</v>
      </c>
      <c r="DK37" s="8">
        <f t="shared" si="5"/>
        <v>0</v>
      </c>
      <c r="DL37" s="8">
        <f t="shared" si="5"/>
        <v>0</v>
      </c>
      <c r="DO37" s="1" t="s">
        <v>60</v>
      </c>
      <c r="DP37" s="1" t="s">
        <v>61</v>
      </c>
      <c r="DR37" s="1" t="s">
        <v>265</v>
      </c>
    </row>
    <row r="38" spans="1:122" ht="16.5" x14ac:dyDescent="0.35">
      <c r="A38" t="s">
        <v>328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1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-1</v>
      </c>
      <c r="AN38">
        <v>0</v>
      </c>
      <c r="AO38">
        <v>0</v>
      </c>
      <c r="AP38">
        <v>-1</v>
      </c>
      <c r="AQ38">
        <v>1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1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/>
      <c r="CP38" s="1">
        <v>34</v>
      </c>
      <c r="CQ38" s="1" t="s">
        <v>205</v>
      </c>
      <c r="CT38" s="13" t="s">
        <v>285</v>
      </c>
      <c r="CU38" s="5">
        <v>6</v>
      </c>
      <c r="CV38" s="5">
        <v>5</v>
      </c>
      <c r="CW38" s="5">
        <v>7</v>
      </c>
      <c r="CX38" s="5">
        <v>0</v>
      </c>
      <c r="CY38" s="5">
        <v>0</v>
      </c>
      <c r="CZ38" s="5">
        <v>0</v>
      </c>
      <c r="DA38" s="5">
        <v>-3</v>
      </c>
      <c r="DC38" s="12">
        <f t="shared" si="0"/>
        <v>3</v>
      </c>
      <c r="DD38" s="12">
        <f t="shared" si="1"/>
        <v>18</v>
      </c>
      <c r="DF38" s="8">
        <f t="shared" si="5"/>
        <v>0</v>
      </c>
      <c r="DG38" s="8">
        <f t="shared" si="5"/>
        <v>0</v>
      </c>
      <c r="DH38" s="8">
        <f t="shared" si="5"/>
        <v>0</v>
      </c>
      <c r="DI38" s="8">
        <f t="shared" si="5"/>
        <v>0</v>
      </c>
      <c r="DJ38" s="8">
        <f t="shared" si="5"/>
        <v>0</v>
      </c>
      <c r="DK38" s="8">
        <f t="shared" si="5"/>
        <v>0</v>
      </c>
      <c r="DL38" s="8">
        <f t="shared" si="5"/>
        <v>0</v>
      </c>
      <c r="DO38" s="1" t="s">
        <v>62</v>
      </c>
      <c r="DP38" s="1" t="s">
        <v>63</v>
      </c>
      <c r="DR38" s="1" t="s">
        <v>265</v>
      </c>
    </row>
    <row r="39" spans="1:122" ht="16.5" x14ac:dyDescent="0.25">
      <c r="A39" t="s">
        <v>329</v>
      </c>
      <c r="B39">
        <v>0</v>
      </c>
      <c r="C39">
        <v>0</v>
      </c>
      <c r="D39">
        <v>0</v>
      </c>
      <c r="E39">
        <v>0</v>
      </c>
      <c r="F39">
        <v>0</v>
      </c>
      <c r="G39">
        <v>1</v>
      </c>
      <c r="H39">
        <v>0</v>
      </c>
      <c r="I39">
        <v>0</v>
      </c>
      <c r="J39">
        <v>-1</v>
      </c>
      <c r="K39">
        <v>0</v>
      </c>
      <c r="L39">
        <v>0</v>
      </c>
      <c r="M39">
        <v>1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-1</v>
      </c>
      <c r="AW39">
        <v>1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/>
      <c r="CP39" s="1">
        <v>35</v>
      </c>
      <c r="CQ39" s="1" t="s">
        <v>206</v>
      </c>
      <c r="CT39" s="16" t="s">
        <v>330</v>
      </c>
      <c r="CU39" s="5">
        <v>3</v>
      </c>
      <c r="CV39" s="5">
        <v>5</v>
      </c>
      <c r="CW39" s="5">
        <v>3</v>
      </c>
      <c r="CX39" s="5">
        <v>0</v>
      </c>
      <c r="CY39" s="5">
        <v>0</v>
      </c>
      <c r="CZ39" s="5">
        <v>0</v>
      </c>
      <c r="DA39" s="5">
        <v>-1</v>
      </c>
      <c r="DC39" s="12">
        <f t="shared" si="0"/>
        <v>4</v>
      </c>
      <c r="DD39" s="12">
        <f t="shared" si="1"/>
        <v>12</v>
      </c>
      <c r="DF39" s="8">
        <f t="shared" si="5"/>
        <v>0</v>
      </c>
      <c r="DG39" s="8">
        <f t="shared" si="5"/>
        <v>0</v>
      </c>
      <c r="DH39" s="8">
        <f t="shared" si="5"/>
        <v>0</v>
      </c>
      <c r="DI39" s="8">
        <f t="shared" si="5"/>
        <v>0</v>
      </c>
      <c r="DJ39" s="8">
        <f t="shared" si="5"/>
        <v>0</v>
      </c>
      <c r="DK39" s="8">
        <f t="shared" si="5"/>
        <v>0</v>
      </c>
      <c r="DL39" s="8">
        <f t="shared" si="5"/>
        <v>0</v>
      </c>
      <c r="DO39" s="1" t="s">
        <v>64</v>
      </c>
      <c r="DP39" s="1" t="s">
        <v>65</v>
      </c>
      <c r="DR39" s="1" t="s">
        <v>265</v>
      </c>
    </row>
    <row r="40" spans="1:122" ht="16.5" x14ac:dyDescent="0.25">
      <c r="A40" t="s">
        <v>331</v>
      </c>
      <c r="B40">
        <v>0</v>
      </c>
      <c r="C40">
        <v>0</v>
      </c>
      <c r="D40">
        <v>0</v>
      </c>
      <c r="E40">
        <v>0</v>
      </c>
      <c r="F40">
        <v>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-1</v>
      </c>
      <c r="P40">
        <v>0</v>
      </c>
      <c r="Q40">
        <v>0</v>
      </c>
      <c r="R40">
        <v>0</v>
      </c>
      <c r="S40">
        <v>0</v>
      </c>
      <c r="T40">
        <v>1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-1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/>
      <c r="CP40" s="1">
        <v>36</v>
      </c>
      <c r="CQ40" s="1" t="s">
        <v>207</v>
      </c>
      <c r="CT40" s="16" t="s">
        <v>330</v>
      </c>
      <c r="CU40" s="5">
        <v>3</v>
      </c>
      <c r="CV40" s="5">
        <v>5</v>
      </c>
      <c r="CW40" s="5">
        <v>3</v>
      </c>
      <c r="CX40" s="5">
        <v>0</v>
      </c>
      <c r="CY40" s="5">
        <v>0</v>
      </c>
      <c r="CZ40" s="5">
        <v>0</v>
      </c>
      <c r="DA40" s="5">
        <v>-1</v>
      </c>
      <c r="DC40" s="12">
        <f t="shared" si="0"/>
        <v>4</v>
      </c>
      <c r="DD40" s="12">
        <f t="shared" si="1"/>
        <v>12</v>
      </c>
      <c r="DF40" s="8">
        <f t="shared" si="5"/>
        <v>0</v>
      </c>
      <c r="DG40" s="8">
        <f t="shared" si="5"/>
        <v>0</v>
      </c>
      <c r="DH40" s="8">
        <f t="shared" si="5"/>
        <v>0</v>
      </c>
      <c r="DI40" s="8">
        <f t="shared" si="5"/>
        <v>0</v>
      </c>
      <c r="DJ40" s="8">
        <f t="shared" si="5"/>
        <v>0</v>
      </c>
      <c r="DK40" s="8">
        <f t="shared" si="5"/>
        <v>0</v>
      </c>
      <c r="DL40" s="8">
        <f t="shared" si="5"/>
        <v>0</v>
      </c>
      <c r="DO40" s="1" t="s">
        <v>66</v>
      </c>
      <c r="DP40" s="1" t="s">
        <v>67</v>
      </c>
      <c r="DR40" s="1" t="s">
        <v>265</v>
      </c>
    </row>
    <row r="41" spans="1:122" ht="16.5" x14ac:dyDescent="0.35">
      <c r="A41" t="s">
        <v>332</v>
      </c>
      <c r="B41">
        <v>0</v>
      </c>
      <c r="C41">
        <v>0</v>
      </c>
      <c r="D41">
        <v>0</v>
      </c>
      <c r="E41">
        <v>0</v>
      </c>
      <c r="F41">
        <v>1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1</v>
      </c>
      <c r="N41">
        <v>0</v>
      </c>
      <c r="O41">
        <v>-1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-1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-1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/>
      <c r="CP41" s="1">
        <v>37</v>
      </c>
      <c r="CQ41" s="1" t="s">
        <v>208</v>
      </c>
      <c r="CT41" s="13" t="s">
        <v>333</v>
      </c>
      <c r="CU41" s="5">
        <v>4</v>
      </c>
      <c r="CV41" s="5">
        <v>4</v>
      </c>
      <c r="CW41" s="5">
        <v>5</v>
      </c>
      <c r="CX41" s="5">
        <v>0</v>
      </c>
      <c r="CY41" s="5">
        <v>0</v>
      </c>
      <c r="CZ41" s="5">
        <v>0</v>
      </c>
      <c r="DA41" s="5">
        <v>-2</v>
      </c>
      <c r="DC41" s="12">
        <f t="shared" si="0"/>
        <v>3</v>
      </c>
      <c r="DD41" s="12">
        <f t="shared" si="1"/>
        <v>12</v>
      </c>
      <c r="DF41" s="8">
        <f t="shared" si="5"/>
        <v>0</v>
      </c>
      <c r="DG41" s="8">
        <f t="shared" si="5"/>
        <v>0</v>
      </c>
      <c r="DH41" s="8">
        <f t="shared" si="5"/>
        <v>0</v>
      </c>
      <c r="DI41" s="8">
        <f t="shared" si="5"/>
        <v>0</v>
      </c>
      <c r="DJ41" s="8">
        <f t="shared" si="5"/>
        <v>0</v>
      </c>
      <c r="DK41" s="8">
        <f t="shared" si="5"/>
        <v>0</v>
      </c>
      <c r="DL41" s="8">
        <f t="shared" si="5"/>
        <v>0</v>
      </c>
      <c r="DO41" s="1" t="s">
        <v>68</v>
      </c>
      <c r="DP41" s="1" t="s">
        <v>69</v>
      </c>
      <c r="DR41" s="1" t="s">
        <v>265</v>
      </c>
    </row>
    <row r="42" spans="1:122" ht="16.5" x14ac:dyDescent="0.35">
      <c r="A42" t="s">
        <v>334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-1</v>
      </c>
      <c r="AJ42">
        <v>0</v>
      </c>
      <c r="AK42">
        <v>1</v>
      </c>
      <c r="AL42">
        <v>0</v>
      </c>
      <c r="AM42">
        <v>0</v>
      </c>
      <c r="AN42">
        <v>1</v>
      </c>
      <c r="AO42">
        <v>-1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-1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/>
      <c r="CP42" s="1">
        <v>38</v>
      </c>
      <c r="CQ42" s="1" t="s">
        <v>209</v>
      </c>
      <c r="CT42" s="13" t="s">
        <v>335</v>
      </c>
      <c r="CU42" s="5">
        <v>21</v>
      </c>
      <c r="CV42" s="5">
        <v>26</v>
      </c>
      <c r="CW42" s="5">
        <v>14</v>
      </c>
      <c r="CX42" s="5">
        <v>7</v>
      </c>
      <c r="CY42" s="5">
        <v>2</v>
      </c>
      <c r="CZ42" s="5">
        <v>0</v>
      </c>
      <c r="DA42" s="5">
        <v>-1</v>
      </c>
      <c r="DC42" s="12">
        <f t="shared" si="0"/>
        <v>3.4285714285714284</v>
      </c>
      <c r="DD42" s="12">
        <f t="shared" si="1"/>
        <v>72</v>
      </c>
      <c r="DF42" s="8">
        <f t="shared" si="5"/>
        <v>0</v>
      </c>
      <c r="DG42" s="8">
        <f t="shared" si="5"/>
        <v>0</v>
      </c>
      <c r="DH42" s="8">
        <f t="shared" si="5"/>
        <v>0</v>
      </c>
      <c r="DI42" s="8">
        <f t="shared" si="5"/>
        <v>0</v>
      </c>
      <c r="DJ42" s="8">
        <f t="shared" si="5"/>
        <v>0</v>
      </c>
      <c r="DK42" s="8">
        <f t="shared" si="5"/>
        <v>0</v>
      </c>
      <c r="DL42" s="8">
        <f t="shared" si="5"/>
        <v>0</v>
      </c>
      <c r="DO42" s="1" t="s">
        <v>70</v>
      </c>
      <c r="DP42" s="1" t="s">
        <v>71</v>
      </c>
      <c r="DR42" s="1" t="s">
        <v>265</v>
      </c>
    </row>
    <row r="43" spans="1:122" ht="16.5" x14ac:dyDescent="0.35">
      <c r="A43" t="s">
        <v>336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-1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1</v>
      </c>
      <c r="BD43">
        <v>-1</v>
      </c>
      <c r="BE43">
        <v>1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-4.5999999999999999E-2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/>
      <c r="CP43" s="1">
        <v>39</v>
      </c>
      <c r="CQ43" s="1" t="s">
        <v>210</v>
      </c>
      <c r="CT43" s="13" t="s">
        <v>337</v>
      </c>
      <c r="CU43" s="5">
        <v>21</v>
      </c>
      <c r="CV43" s="5">
        <v>27</v>
      </c>
      <c r="CW43" s="5">
        <v>14</v>
      </c>
      <c r="CX43" s="5">
        <v>7</v>
      </c>
      <c r="CY43" s="5">
        <v>2</v>
      </c>
      <c r="CZ43" s="5">
        <v>0</v>
      </c>
      <c r="DA43" s="5">
        <v>-2</v>
      </c>
      <c r="DC43" s="12">
        <f t="shared" si="0"/>
        <v>3.5238095238095237</v>
      </c>
      <c r="DD43" s="12">
        <f t="shared" si="1"/>
        <v>74</v>
      </c>
      <c r="DF43" s="8">
        <f t="shared" si="5"/>
        <v>0</v>
      </c>
      <c r="DG43" s="8">
        <f t="shared" si="5"/>
        <v>0</v>
      </c>
      <c r="DH43" s="8">
        <f t="shared" si="5"/>
        <v>0</v>
      </c>
      <c r="DI43" s="8">
        <f t="shared" si="5"/>
        <v>0</v>
      </c>
      <c r="DJ43" s="8">
        <f t="shared" si="5"/>
        <v>0</v>
      </c>
      <c r="DK43" s="8">
        <f t="shared" si="5"/>
        <v>0</v>
      </c>
      <c r="DL43" s="8">
        <f t="shared" si="5"/>
        <v>0</v>
      </c>
      <c r="DO43" s="1" t="s">
        <v>72</v>
      </c>
      <c r="DP43" s="1" t="s">
        <v>338</v>
      </c>
      <c r="DR43" s="1" t="s">
        <v>265</v>
      </c>
    </row>
    <row r="44" spans="1:122" ht="16.5" x14ac:dyDescent="0.35">
      <c r="A44" t="s">
        <v>339</v>
      </c>
      <c r="B44">
        <v>0</v>
      </c>
      <c r="C44">
        <v>0</v>
      </c>
      <c r="D44">
        <v>0</v>
      </c>
      <c r="E44">
        <v>0</v>
      </c>
      <c r="F44">
        <v>-1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1</v>
      </c>
      <c r="P44">
        <v>0</v>
      </c>
      <c r="Q44">
        <v>0</v>
      </c>
      <c r="R44">
        <v>1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-2</v>
      </c>
      <c r="AJ44">
        <v>0</v>
      </c>
      <c r="AK44">
        <v>0</v>
      </c>
      <c r="AL44">
        <v>0</v>
      </c>
      <c r="AM44">
        <v>0</v>
      </c>
      <c r="AN44">
        <v>2</v>
      </c>
      <c r="AO44">
        <v>-2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/>
      <c r="CP44" s="1">
        <v>40</v>
      </c>
      <c r="CQ44" s="1" t="s">
        <v>211</v>
      </c>
      <c r="CT44" s="13" t="s">
        <v>340</v>
      </c>
      <c r="CU44" s="5">
        <v>21</v>
      </c>
      <c r="CV44" s="5">
        <v>25</v>
      </c>
      <c r="CW44" s="5">
        <v>17</v>
      </c>
      <c r="CX44" s="5">
        <v>7</v>
      </c>
      <c r="CY44" s="5">
        <v>3</v>
      </c>
      <c r="CZ44" s="5">
        <v>0</v>
      </c>
      <c r="DA44" s="5">
        <v>-2</v>
      </c>
      <c r="DC44" s="12">
        <f t="shared" si="0"/>
        <v>3.3809523809523809</v>
      </c>
      <c r="DD44" s="12">
        <f t="shared" si="1"/>
        <v>71</v>
      </c>
      <c r="DF44" s="8">
        <f t="shared" si="5"/>
        <v>0</v>
      </c>
      <c r="DG44" s="8">
        <f t="shared" si="5"/>
        <v>0</v>
      </c>
      <c r="DH44" s="8">
        <f t="shared" si="5"/>
        <v>0</v>
      </c>
      <c r="DI44" s="8">
        <f t="shared" si="5"/>
        <v>0</v>
      </c>
      <c r="DJ44" s="8">
        <f t="shared" si="5"/>
        <v>0</v>
      </c>
      <c r="DK44" s="8">
        <f t="shared" si="5"/>
        <v>0</v>
      </c>
      <c r="DL44" s="8">
        <f t="shared" si="5"/>
        <v>0</v>
      </c>
      <c r="DO44" s="1" t="s">
        <v>73</v>
      </c>
      <c r="DP44" s="1" t="s">
        <v>74</v>
      </c>
      <c r="DR44" s="1" t="s">
        <v>265</v>
      </c>
    </row>
    <row r="45" spans="1:122" ht="16.5" x14ac:dyDescent="0.35">
      <c r="A45" t="s">
        <v>341</v>
      </c>
      <c r="B45">
        <v>1</v>
      </c>
      <c r="C45">
        <v>0</v>
      </c>
      <c r="D45">
        <v>1</v>
      </c>
      <c r="E45">
        <v>0</v>
      </c>
      <c r="F45">
        <v>-1</v>
      </c>
      <c r="G45">
        <v>-1</v>
      </c>
      <c r="H45">
        <v>0</v>
      </c>
      <c r="I45">
        <v>0</v>
      </c>
      <c r="J45">
        <v>1</v>
      </c>
      <c r="K45">
        <v>0</v>
      </c>
      <c r="L45">
        <v>0</v>
      </c>
      <c r="M45">
        <v>0</v>
      </c>
      <c r="N45">
        <v>0</v>
      </c>
      <c r="O45">
        <v>1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-1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/>
      <c r="CP45" s="1">
        <v>41</v>
      </c>
      <c r="CQ45" s="1" t="s">
        <v>212</v>
      </c>
      <c r="CT45" s="13" t="s">
        <v>342</v>
      </c>
      <c r="CU45" s="5">
        <v>21</v>
      </c>
      <c r="CV45" s="5">
        <v>26</v>
      </c>
      <c r="CW45" s="5">
        <v>17</v>
      </c>
      <c r="CX45" s="5">
        <v>7</v>
      </c>
      <c r="CY45" s="5">
        <v>3</v>
      </c>
      <c r="CZ45" s="5">
        <v>0</v>
      </c>
      <c r="DA45" s="5">
        <v>-3</v>
      </c>
      <c r="DC45" s="12">
        <f t="shared" si="0"/>
        <v>3.4761904761904763</v>
      </c>
      <c r="DD45" s="12">
        <f t="shared" si="1"/>
        <v>73</v>
      </c>
      <c r="DF45" s="8">
        <f t="shared" si="5"/>
        <v>0</v>
      </c>
      <c r="DG45" s="8">
        <f t="shared" si="5"/>
        <v>0</v>
      </c>
      <c r="DH45" s="8">
        <f t="shared" si="5"/>
        <v>0</v>
      </c>
      <c r="DI45" s="8">
        <f t="shared" si="5"/>
        <v>0</v>
      </c>
      <c r="DJ45" s="8">
        <f t="shared" si="5"/>
        <v>0</v>
      </c>
      <c r="DK45" s="8">
        <f t="shared" si="5"/>
        <v>0</v>
      </c>
      <c r="DL45" s="8">
        <f t="shared" si="5"/>
        <v>0</v>
      </c>
      <c r="DO45" s="1" t="s">
        <v>75</v>
      </c>
      <c r="DP45" s="1" t="s">
        <v>76</v>
      </c>
      <c r="DR45" s="1" t="s">
        <v>273</v>
      </c>
    </row>
    <row r="46" spans="1:122" ht="16.5" x14ac:dyDescent="0.35">
      <c r="A46" t="s">
        <v>343</v>
      </c>
      <c r="B46">
        <v>0</v>
      </c>
      <c r="C46">
        <v>0</v>
      </c>
      <c r="D46">
        <v>1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1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-1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-1</v>
      </c>
      <c r="BD46">
        <v>-1</v>
      </c>
      <c r="BE46">
        <v>1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-0.189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/>
      <c r="CP46" s="1">
        <v>42</v>
      </c>
      <c r="CQ46" s="1" t="s">
        <v>344</v>
      </c>
      <c r="CT46" s="13" t="s">
        <v>345</v>
      </c>
      <c r="CU46" s="5">
        <v>0</v>
      </c>
      <c r="CV46" s="5">
        <v>3</v>
      </c>
      <c r="CW46" s="5">
        <v>0</v>
      </c>
      <c r="CX46" s="5">
        <v>1</v>
      </c>
      <c r="CY46" s="5">
        <v>0</v>
      </c>
      <c r="CZ46" s="5">
        <v>0</v>
      </c>
      <c r="DA46" s="5">
        <v>0</v>
      </c>
      <c r="DC46" s="12">
        <f t="shared" si="0"/>
        <v>0</v>
      </c>
      <c r="DD46" s="12">
        <f t="shared" si="1"/>
        <v>0</v>
      </c>
      <c r="DF46" s="8">
        <f t="shared" si="5"/>
        <v>0</v>
      </c>
      <c r="DG46" s="8">
        <f t="shared" si="5"/>
        <v>0</v>
      </c>
      <c r="DH46" s="8">
        <f t="shared" si="5"/>
        <v>0</v>
      </c>
      <c r="DI46" s="8">
        <f t="shared" si="5"/>
        <v>0</v>
      </c>
      <c r="DJ46" s="8">
        <f t="shared" si="5"/>
        <v>0</v>
      </c>
      <c r="DK46" s="8">
        <f t="shared" si="5"/>
        <v>0</v>
      </c>
      <c r="DL46" s="8">
        <f t="shared" si="5"/>
        <v>0</v>
      </c>
      <c r="DO46" s="1" t="s">
        <v>77</v>
      </c>
      <c r="DP46" s="1" t="s">
        <v>346</v>
      </c>
      <c r="DR46" s="1" t="s">
        <v>265</v>
      </c>
    </row>
    <row r="47" spans="1:122" ht="16.5" x14ac:dyDescent="0.35">
      <c r="A47" t="s">
        <v>347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1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-2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1</v>
      </c>
      <c r="BB47">
        <v>0</v>
      </c>
      <c r="BC47">
        <v>0</v>
      </c>
      <c r="BD47">
        <v>-1</v>
      </c>
      <c r="BE47">
        <v>1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-0.3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/>
      <c r="CP47" s="1">
        <v>43</v>
      </c>
      <c r="CQ47" s="1" t="s">
        <v>348</v>
      </c>
      <c r="CT47" s="13" t="s">
        <v>345</v>
      </c>
      <c r="CU47" s="5">
        <v>0</v>
      </c>
      <c r="CV47" s="5">
        <v>3</v>
      </c>
      <c r="CW47" s="5">
        <v>0</v>
      </c>
      <c r="CX47" s="5">
        <v>1</v>
      </c>
      <c r="CY47" s="5">
        <v>0</v>
      </c>
      <c r="CZ47" s="5">
        <v>0</v>
      </c>
      <c r="DA47" s="5">
        <v>0</v>
      </c>
      <c r="DC47" s="12">
        <f t="shared" si="0"/>
        <v>0</v>
      </c>
      <c r="DD47" s="12">
        <f t="shared" si="1"/>
        <v>0</v>
      </c>
      <c r="DF47" s="8">
        <f t="shared" si="5"/>
        <v>0</v>
      </c>
      <c r="DG47" s="8">
        <f t="shared" si="5"/>
        <v>0</v>
      </c>
      <c r="DH47" s="8">
        <f t="shared" si="5"/>
        <v>0</v>
      </c>
      <c r="DI47" s="8">
        <f t="shared" si="5"/>
        <v>0</v>
      </c>
      <c r="DJ47" s="8">
        <f t="shared" si="5"/>
        <v>0</v>
      </c>
      <c r="DK47" s="8">
        <f t="shared" si="5"/>
        <v>0</v>
      </c>
      <c r="DL47" s="8">
        <f t="shared" si="5"/>
        <v>0</v>
      </c>
      <c r="DO47" s="1" t="s">
        <v>78</v>
      </c>
      <c r="DP47" s="1" t="s">
        <v>349</v>
      </c>
      <c r="DR47" s="1" t="s">
        <v>265</v>
      </c>
    </row>
    <row r="48" spans="1:122" ht="18" x14ac:dyDescent="0.35">
      <c r="A48" t="s">
        <v>350</v>
      </c>
      <c r="B48">
        <v>0</v>
      </c>
      <c r="C48">
        <v>0</v>
      </c>
      <c r="D48">
        <v>-1</v>
      </c>
      <c r="E48">
        <v>0</v>
      </c>
      <c r="F48">
        <v>1</v>
      </c>
      <c r="G48">
        <v>0</v>
      </c>
      <c r="H48">
        <v>0</v>
      </c>
      <c r="I48">
        <v>1</v>
      </c>
      <c r="J48">
        <v>-1</v>
      </c>
      <c r="K48">
        <v>0</v>
      </c>
      <c r="L48">
        <v>0</v>
      </c>
      <c r="M48">
        <v>0</v>
      </c>
      <c r="N48">
        <v>0</v>
      </c>
      <c r="O48">
        <v>-1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1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/>
      <c r="CP48" s="1">
        <v>44</v>
      </c>
      <c r="CQ48" s="1" t="s">
        <v>351</v>
      </c>
      <c r="CT48" s="5" t="s">
        <v>352</v>
      </c>
      <c r="CU48" s="5">
        <v>0</v>
      </c>
      <c r="CV48" s="5">
        <v>0</v>
      </c>
      <c r="CW48" s="5">
        <v>2</v>
      </c>
      <c r="CX48" s="5">
        <v>0</v>
      </c>
      <c r="CY48" s="5">
        <v>0</v>
      </c>
      <c r="CZ48" s="5">
        <v>0</v>
      </c>
      <c r="DA48" s="5">
        <v>0</v>
      </c>
      <c r="DC48" s="12">
        <f t="shared" si="0"/>
        <v>-4</v>
      </c>
      <c r="DD48" s="12">
        <f t="shared" si="1"/>
        <v>-4</v>
      </c>
      <c r="DF48" s="8">
        <f t="shared" si="5"/>
        <v>0</v>
      </c>
      <c r="DG48" s="8">
        <f t="shared" si="5"/>
        <v>0</v>
      </c>
      <c r="DH48" s="8">
        <f t="shared" si="5"/>
        <v>0</v>
      </c>
      <c r="DI48" s="8">
        <f t="shared" si="5"/>
        <v>0</v>
      </c>
      <c r="DJ48" s="8">
        <f t="shared" si="5"/>
        <v>0</v>
      </c>
      <c r="DK48" s="8">
        <f t="shared" si="5"/>
        <v>0</v>
      </c>
      <c r="DL48" s="8">
        <f t="shared" si="5"/>
        <v>0</v>
      </c>
      <c r="DO48" s="1" t="s">
        <v>79</v>
      </c>
      <c r="DP48" s="1" t="s">
        <v>80</v>
      </c>
      <c r="DR48" s="1" t="s">
        <v>265</v>
      </c>
    </row>
    <row r="49" spans="1:122" ht="18" x14ac:dyDescent="0.35">
      <c r="A49" t="s">
        <v>353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-5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-1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4</v>
      </c>
      <c r="BB49">
        <v>0</v>
      </c>
      <c r="BC49">
        <v>0</v>
      </c>
      <c r="BD49">
        <v>-1</v>
      </c>
      <c r="BE49">
        <v>1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-1.0669999999999999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/>
      <c r="CP49" s="1">
        <v>45</v>
      </c>
      <c r="CQ49" s="1" t="s">
        <v>354</v>
      </c>
      <c r="CT49" s="5" t="s">
        <v>352</v>
      </c>
      <c r="CU49" s="5">
        <v>0</v>
      </c>
      <c r="CV49" s="5">
        <v>0</v>
      </c>
      <c r="CW49" s="5">
        <v>2</v>
      </c>
      <c r="CX49" s="5">
        <v>0</v>
      </c>
      <c r="CY49" s="5">
        <v>0</v>
      </c>
      <c r="CZ49" s="5">
        <v>0</v>
      </c>
      <c r="DA49" s="5">
        <v>0</v>
      </c>
      <c r="DC49" s="12">
        <f t="shared" si="0"/>
        <v>-4</v>
      </c>
      <c r="DD49" s="12">
        <f t="shared" si="1"/>
        <v>-4</v>
      </c>
      <c r="DF49" s="8">
        <f t="shared" si="5"/>
        <v>0</v>
      </c>
      <c r="DG49" s="8">
        <f t="shared" si="5"/>
        <v>0</v>
      </c>
      <c r="DH49" s="8">
        <f t="shared" si="5"/>
        <v>0</v>
      </c>
      <c r="DI49" s="8">
        <f t="shared" si="5"/>
        <v>0</v>
      </c>
      <c r="DJ49" s="8">
        <f t="shared" si="5"/>
        <v>0</v>
      </c>
      <c r="DK49" s="8">
        <f t="shared" si="5"/>
        <v>0</v>
      </c>
      <c r="DL49" s="8">
        <f t="shared" si="5"/>
        <v>0</v>
      </c>
      <c r="DO49" s="1" t="s">
        <v>81</v>
      </c>
      <c r="DP49" s="1" t="s">
        <v>355</v>
      </c>
      <c r="DR49" s="1" t="s">
        <v>265</v>
      </c>
    </row>
    <row r="50" spans="1:122" ht="16.5" x14ac:dyDescent="0.35">
      <c r="A50" t="s">
        <v>356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-1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-1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-1</v>
      </c>
      <c r="BE50">
        <v>1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-9.1999999999999998E-2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/>
      <c r="CP50" s="1">
        <v>46</v>
      </c>
      <c r="CQ50" s="1" t="s">
        <v>217</v>
      </c>
      <c r="CT50" s="13" t="s">
        <v>357</v>
      </c>
      <c r="CU50" s="5">
        <v>4</v>
      </c>
      <c r="CV50" s="5">
        <v>2</v>
      </c>
      <c r="CW50" s="5">
        <v>5</v>
      </c>
      <c r="CX50" s="5">
        <v>0</v>
      </c>
      <c r="CY50" s="5">
        <v>0</v>
      </c>
      <c r="CZ50" s="5">
        <v>0</v>
      </c>
      <c r="DA50" s="5">
        <v>-2</v>
      </c>
      <c r="DC50" s="12">
        <f t="shared" si="0"/>
        <v>2.5</v>
      </c>
      <c r="DD50" s="12">
        <f t="shared" si="1"/>
        <v>10</v>
      </c>
      <c r="DF50" s="8">
        <f t="shared" si="5"/>
        <v>0</v>
      </c>
      <c r="DG50" s="8">
        <f t="shared" si="5"/>
        <v>0</v>
      </c>
      <c r="DH50" s="8">
        <f t="shared" si="5"/>
        <v>0</v>
      </c>
      <c r="DI50" s="8">
        <f t="shared" si="5"/>
        <v>0</v>
      </c>
      <c r="DJ50" s="8">
        <f t="shared" si="5"/>
        <v>0</v>
      </c>
      <c r="DK50" s="8">
        <f t="shared" si="5"/>
        <v>0</v>
      </c>
      <c r="DL50" s="8">
        <f t="shared" si="5"/>
        <v>0</v>
      </c>
      <c r="DO50" s="1" t="s">
        <v>82</v>
      </c>
      <c r="DP50" s="1" t="s">
        <v>358</v>
      </c>
      <c r="DR50" s="1" t="s">
        <v>265</v>
      </c>
    </row>
    <row r="51" spans="1:122" ht="16.5" x14ac:dyDescent="0.35">
      <c r="A51" t="s">
        <v>359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2</v>
      </c>
      <c r="AH51">
        <v>0</v>
      </c>
      <c r="AI51">
        <v>-4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-1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4</v>
      </c>
      <c r="BB51">
        <v>0</v>
      </c>
      <c r="BC51">
        <v>0</v>
      </c>
      <c r="BD51">
        <v>2</v>
      </c>
      <c r="BE51">
        <v>-2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-0.16200000000000001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/>
      <c r="CP51" s="1">
        <v>47</v>
      </c>
      <c r="CQ51" s="1" t="s">
        <v>218</v>
      </c>
      <c r="CT51" s="13" t="s">
        <v>360</v>
      </c>
      <c r="CU51" s="5">
        <v>3</v>
      </c>
      <c r="CV51" s="5">
        <v>2</v>
      </c>
      <c r="CW51" s="5">
        <v>6</v>
      </c>
      <c r="CX51" s="5">
        <v>0</v>
      </c>
      <c r="CY51" s="5">
        <v>1</v>
      </c>
      <c r="CZ51" s="5">
        <v>0</v>
      </c>
      <c r="DA51" s="5">
        <v>-3</v>
      </c>
      <c r="DC51" s="12">
        <f t="shared" si="0"/>
        <v>3.3333333333333335</v>
      </c>
      <c r="DD51" s="12">
        <f t="shared" si="1"/>
        <v>10</v>
      </c>
      <c r="DF51" s="8">
        <f t="shared" si="5"/>
        <v>0</v>
      </c>
      <c r="DG51" s="8">
        <f t="shared" si="5"/>
        <v>0</v>
      </c>
      <c r="DH51" s="8">
        <f t="shared" si="5"/>
        <v>0</v>
      </c>
      <c r="DI51" s="8">
        <f t="shared" si="5"/>
        <v>0</v>
      </c>
      <c r="DJ51" s="8">
        <f t="shared" si="5"/>
        <v>0</v>
      </c>
      <c r="DK51" s="8">
        <f t="shared" si="5"/>
        <v>0</v>
      </c>
      <c r="DL51" s="8">
        <f t="shared" si="5"/>
        <v>0</v>
      </c>
      <c r="DO51" s="1" t="s">
        <v>83</v>
      </c>
      <c r="DP51" s="1" t="s">
        <v>361</v>
      </c>
      <c r="DR51" s="1" t="s">
        <v>265</v>
      </c>
    </row>
    <row r="52" spans="1:122" ht="16.5" x14ac:dyDescent="0.35">
      <c r="A52" t="s">
        <v>362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2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-1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2</v>
      </c>
      <c r="BE52">
        <v>-2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/>
      <c r="CP52" s="1">
        <v>48</v>
      </c>
      <c r="CQ52" s="1" t="s">
        <v>219</v>
      </c>
      <c r="CT52" s="13" t="s">
        <v>363</v>
      </c>
      <c r="CU52" s="5">
        <v>3</v>
      </c>
      <c r="CV52" s="5">
        <v>4</v>
      </c>
      <c r="CW52" s="5">
        <v>7</v>
      </c>
      <c r="CX52" s="5">
        <v>0</v>
      </c>
      <c r="CY52" s="5">
        <v>1</v>
      </c>
      <c r="CZ52" s="5">
        <v>0</v>
      </c>
      <c r="DA52" s="5">
        <v>-3</v>
      </c>
      <c r="DC52" s="12">
        <f t="shared" si="0"/>
        <v>3.3333333333333335</v>
      </c>
      <c r="DD52" s="12">
        <f t="shared" si="1"/>
        <v>10</v>
      </c>
      <c r="DF52" s="8">
        <f t="shared" si="5"/>
        <v>0</v>
      </c>
      <c r="DG52" s="8">
        <f t="shared" si="5"/>
        <v>0</v>
      </c>
      <c r="DH52" s="8">
        <f t="shared" si="5"/>
        <v>0</v>
      </c>
      <c r="DI52" s="8">
        <f t="shared" si="5"/>
        <v>0</v>
      </c>
      <c r="DJ52" s="8">
        <f t="shared" si="5"/>
        <v>0</v>
      </c>
      <c r="DK52" s="8">
        <f t="shared" si="5"/>
        <v>0</v>
      </c>
      <c r="DL52" s="8">
        <f t="shared" si="5"/>
        <v>0</v>
      </c>
      <c r="DO52" s="1" t="s">
        <v>84</v>
      </c>
      <c r="DP52" s="1" t="s">
        <v>85</v>
      </c>
      <c r="DR52" s="1" t="s">
        <v>265</v>
      </c>
    </row>
    <row r="53" spans="1:122" ht="16.5" x14ac:dyDescent="0.35">
      <c r="A53" t="s">
        <v>364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2</v>
      </c>
      <c r="AH53">
        <v>0</v>
      </c>
      <c r="AI53">
        <v>-8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-1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8</v>
      </c>
      <c r="BB53">
        <v>0</v>
      </c>
      <c r="BC53">
        <v>0</v>
      </c>
      <c r="BD53">
        <v>2</v>
      </c>
      <c r="BE53">
        <v>-2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-0.11700000000000001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/>
      <c r="CP53" s="1">
        <v>49</v>
      </c>
      <c r="CQ53" s="1" t="s">
        <v>365</v>
      </c>
      <c r="CT53" s="13" t="s">
        <v>366</v>
      </c>
      <c r="CU53" s="5">
        <v>0</v>
      </c>
      <c r="CV53" s="5">
        <v>1</v>
      </c>
      <c r="CW53" s="5">
        <v>4</v>
      </c>
      <c r="CX53" s="5">
        <v>0</v>
      </c>
      <c r="CY53" s="5">
        <v>1</v>
      </c>
      <c r="CZ53" s="5">
        <v>0</v>
      </c>
      <c r="DA53" s="5">
        <v>-2</v>
      </c>
      <c r="DC53" s="12">
        <f t="shared" si="0"/>
        <v>0</v>
      </c>
      <c r="DD53" s="12">
        <f t="shared" si="1"/>
        <v>0</v>
      </c>
      <c r="DF53" s="8">
        <f t="shared" si="5"/>
        <v>0</v>
      </c>
      <c r="DG53" s="8">
        <f t="shared" si="5"/>
        <v>0</v>
      </c>
      <c r="DH53" s="8">
        <f t="shared" si="5"/>
        <v>0</v>
      </c>
      <c r="DI53" s="8">
        <f t="shared" si="5"/>
        <v>0</v>
      </c>
      <c r="DJ53" s="8">
        <f t="shared" si="5"/>
        <v>0</v>
      </c>
      <c r="DK53" s="8">
        <f t="shared" si="5"/>
        <v>0</v>
      </c>
      <c r="DL53" s="8">
        <f t="shared" si="5"/>
        <v>0</v>
      </c>
      <c r="DO53" s="1" t="s">
        <v>86</v>
      </c>
      <c r="DP53" s="1" t="s">
        <v>367</v>
      </c>
      <c r="DR53" s="1" t="s">
        <v>265</v>
      </c>
    </row>
    <row r="54" spans="1:122" ht="16.5" x14ac:dyDescent="0.35">
      <c r="A54" t="s">
        <v>368</v>
      </c>
      <c r="B54">
        <v>1</v>
      </c>
      <c r="C54">
        <v>0</v>
      </c>
      <c r="D54">
        <v>0</v>
      </c>
      <c r="E54">
        <v>0</v>
      </c>
      <c r="F54">
        <v>0</v>
      </c>
      <c r="G54">
        <v>-1</v>
      </c>
      <c r="H54">
        <v>0</v>
      </c>
      <c r="I54">
        <v>0</v>
      </c>
      <c r="J54">
        <v>1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1</v>
      </c>
      <c r="AH54">
        <v>0</v>
      </c>
      <c r="AI54">
        <v>3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-1</v>
      </c>
      <c r="AZ54">
        <v>0</v>
      </c>
      <c r="BA54">
        <v>-4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-0.13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/>
      <c r="CP54" s="1">
        <v>50</v>
      </c>
      <c r="CQ54" s="1" t="s">
        <v>369</v>
      </c>
      <c r="CT54" s="13" t="s">
        <v>366</v>
      </c>
      <c r="CU54" s="5">
        <v>0</v>
      </c>
      <c r="CV54" s="5">
        <v>1</v>
      </c>
      <c r="CW54" s="5">
        <v>4</v>
      </c>
      <c r="CX54" s="5">
        <v>0</v>
      </c>
      <c r="CY54" s="5">
        <v>1</v>
      </c>
      <c r="CZ54" s="5">
        <v>0</v>
      </c>
      <c r="DA54" s="5">
        <v>-2</v>
      </c>
      <c r="DC54" s="12">
        <f t="shared" si="0"/>
        <v>0</v>
      </c>
      <c r="DD54" s="12">
        <f t="shared" si="1"/>
        <v>0</v>
      </c>
      <c r="DF54" s="8">
        <f t="shared" si="5"/>
        <v>0</v>
      </c>
      <c r="DG54" s="8">
        <f t="shared" si="5"/>
        <v>0</v>
      </c>
      <c r="DH54" s="8">
        <f t="shared" si="5"/>
        <v>0</v>
      </c>
      <c r="DI54" s="8">
        <f t="shared" si="5"/>
        <v>0</v>
      </c>
      <c r="DJ54" s="8">
        <f t="shared" si="5"/>
        <v>0</v>
      </c>
      <c r="DK54" s="8">
        <f t="shared" si="5"/>
        <v>0</v>
      </c>
      <c r="DL54" s="8">
        <f t="shared" si="5"/>
        <v>0</v>
      </c>
      <c r="DO54" s="1" t="s">
        <v>87</v>
      </c>
      <c r="DP54" s="1" t="s">
        <v>370</v>
      </c>
      <c r="DR54" s="1" t="s">
        <v>273</v>
      </c>
    </row>
    <row r="55" spans="1:122" x14ac:dyDescent="0.25">
      <c r="A55" t="s">
        <v>371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-1</v>
      </c>
      <c r="AO55">
        <v>1</v>
      </c>
      <c r="AP55">
        <v>1</v>
      </c>
      <c r="AQ55">
        <v>-1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/>
      <c r="CP55" s="1">
        <v>51</v>
      </c>
      <c r="CQ55" s="1" t="s">
        <v>372</v>
      </c>
      <c r="CT55" s="5" t="s">
        <v>160</v>
      </c>
      <c r="CU55" s="5">
        <v>0</v>
      </c>
      <c r="CV55" s="5">
        <v>1</v>
      </c>
      <c r="CW55" s="5">
        <v>0</v>
      </c>
      <c r="CX55" s="5">
        <v>0</v>
      </c>
      <c r="CY55" s="5">
        <v>0</v>
      </c>
      <c r="CZ55" s="5">
        <v>0</v>
      </c>
      <c r="DA55" s="5">
        <v>1</v>
      </c>
      <c r="DC55" s="12">
        <f t="shared" si="0"/>
        <v>0</v>
      </c>
      <c r="DD55" s="12">
        <f t="shared" si="1"/>
        <v>0</v>
      </c>
      <c r="DF55" s="8">
        <f t="shared" si="5"/>
        <v>0</v>
      </c>
      <c r="DG55" s="8">
        <f t="shared" si="5"/>
        <v>0</v>
      </c>
      <c r="DH55" s="8">
        <f t="shared" si="5"/>
        <v>0</v>
      </c>
      <c r="DI55" s="8">
        <f t="shared" si="5"/>
        <v>0</v>
      </c>
      <c r="DJ55" s="8">
        <f t="shared" si="5"/>
        <v>0</v>
      </c>
      <c r="DK55" s="8">
        <f t="shared" si="5"/>
        <v>0</v>
      </c>
      <c r="DL55" s="8">
        <f t="shared" si="5"/>
        <v>0</v>
      </c>
      <c r="DO55" s="1" t="s">
        <v>88</v>
      </c>
      <c r="DP55" s="1" t="s">
        <v>89</v>
      </c>
      <c r="DR55" s="1" t="s">
        <v>265</v>
      </c>
    </row>
    <row r="56" spans="1:122" ht="16.5" x14ac:dyDescent="0.35">
      <c r="A56" t="s">
        <v>373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1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-1</v>
      </c>
      <c r="AP56">
        <v>-1</v>
      </c>
      <c r="AQ56">
        <v>1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-1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-9.1999999999999998E-2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/>
      <c r="CP56" s="1">
        <v>52</v>
      </c>
      <c r="CQ56" s="1" t="s">
        <v>223</v>
      </c>
      <c r="CT56" s="13" t="s">
        <v>374</v>
      </c>
      <c r="CU56" s="5">
        <v>0</v>
      </c>
      <c r="CV56" s="5">
        <v>1</v>
      </c>
      <c r="CW56" s="5">
        <v>7</v>
      </c>
      <c r="CX56" s="5">
        <v>0</v>
      </c>
      <c r="CY56" s="5">
        <v>2</v>
      </c>
      <c r="CZ56" s="5">
        <v>0</v>
      </c>
      <c r="DA56" s="5">
        <v>-3</v>
      </c>
      <c r="DC56" s="12">
        <f t="shared" si="0"/>
        <v>0</v>
      </c>
      <c r="DD56" s="12">
        <f t="shared" si="1"/>
        <v>0</v>
      </c>
      <c r="DF56" s="8">
        <f t="shared" si="5"/>
        <v>0</v>
      </c>
      <c r="DG56" s="8">
        <f t="shared" si="5"/>
        <v>0</v>
      </c>
      <c r="DH56" s="8">
        <f t="shared" si="5"/>
        <v>0</v>
      </c>
      <c r="DI56" s="8">
        <f t="shared" si="5"/>
        <v>0</v>
      </c>
      <c r="DJ56" s="8">
        <f t="shared" si="5"/>
        <v>0</v>
      </c>
      <c r="DK56" s="8">
        <f t="shared" si="5"/>
        <v>0</v>
      </c>
      <c r="DL56" s="8">
        <f t="shared" si="5"/>
        <v>0</v>
      </c>
      <c r="DO56" s="1" t="s">
        <v>90</v>
      </c>
      <c r="DP56" s="1" t="s">
        <v>375</v>
      </c>
      <c r="DR56" s="1" t="s">
        <v>265</v>
      </c>
    </row>
    <row r="57" spans="1:122" ht="16.5" x14ac:dyDescent="0.25">
      <c r="A57" t="s">
        <v>376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1</v>
      </c>
      <c r="AF57">
        <v>0</v>
      </c>
      <c r="AG57">
        <v>0</v>
      </c>
      <c r="AH57">
        <v>0</v>
      </c>
      <c r="AI57">
        <v>0</v>
      </c>
      <c r="AJ57">
        <v>-1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1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/>
      <c r="CP57" s="1">
        <v>53</v>
      </c>
      <c r="CQ57" s="1" t="s">
        <v>224</v>
      </c>
      <c r="CT57" s="16" t="s">
        <v>377</v>
      </c>
      <c r="CU57" s="5">
        <v>3</v>
      </c>
      <c r="CV57" s="5">
        <v>3</v>
      </c>
      <c r="CW57" s="5">
        <v>3</v>
      </c>
      <c r="CX57" s="5">
        <v>0</v>
      </c>
      <c r="CY57" s="5">
        <v>0</v>
      </c>
      <c r="CZ57" s="5">
        <v>0</v>
      </c>
      <c r="DA57" s="5">
        <v>-1</v>
      </c>
      <c r="DC57" s="12">
        <f t="shared" si="0"/>
        <v>3.3333333333333335</v>
      </c>
      <c r="DD57" s="12">
        <f t="shared" si="1"/>
        <v>10</v>
      </c>
      <c r="DF57" s="8">
        <f t="shared" si="5"/>
        <v>0</v>
      </c>
      <c r="DG57" s="8">
        <f t="shared" si="5"/>
        <v>0</v>
      </c>
      <c r="DH57" s="8">
        <f t="shared" si="5"/>
        <v>0</v>
      </c>
      <c r="DI57" s="8">
        <f t="shared" ref="DI57:DL92" si="6">MMULT($C57:$CH57,CX$5:CX$88)</f>
        <v>0</v>
      </c>
      <c r="DJ57" s="8">
        <f t="shared" si="6"/>
        <v>0</v>
      </c>
      <c r="DK57" s="8">
        <f t="shared" si="6"/>
        <v>0</v>
      </c>
      <c r="DL57" s="8">
        <f t="shared" si="6"/>
        <v>0</v>
      </c>
      <c r="DO57" s="1" t="s">
        <v>91</v>
      </c>
      <c r="DP57" s="1" t="s">
        <v>92</v>
      </c>
      <c r="DR57" s="1" t="s">
        <v>273</v>
      </c>
    </row>
    <row r="58" spans="1:122" ht="19.5" x14ac:dyDescent="0.4">
      <c r="A58" t="s">
        <v>378</v>
      </c>
      <c r="B58">
        <v>0</v>
      </c>
      <c r="C58">
        <v>0</v>
      </c>
      <c r="D58">
        <v>0</v>
      </c>
      <c r="E58">
        <v>0</v>
      </c>
      <c r="F58">
        <v>-1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1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-1</v>
      </c>
      <c r="AF58">
        <v>0</v>
      </c>
      <c r="AG58">
        <v>-1</v>
      </c>
      <c r="AH58">
        <v>0</v>
      </c>
      <c r="AI58">
        <v>1</v>
      </c>
      <c r="AJ58">
        <v>0</v>
      </c>
      <c r="AK58">
        <v>0</v>
      </c>
      <c r="AL58">
        <v>0</v>
      </c>
      <c r="AM58">
        <v>1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/>
      <c r="CP58" s="1">
        <v>54</v>
      </c>
      <c r="CQ58" s="1" t="s">
        <v>225</v>
      </c>
      <c r="CT58" s="13" t="s">
        <v>379</v>
      </c>
      <c r="CU58" s="5">
        <v>14</v>
      </c>
      <c r="CV58" s="5">
        <v>18</v>
      </c>
      <c r="CW58" s="5">
        <v>4</v>
      </c>
      <c r="CX58" s="5">
        <v>0</v>
      </c>
      <c r="CY58" s="5">
        <v>0</v>
      </c>
      <c r="CZ58" s="5">
        <v>0</v>
      </c>
      <c r="DA58" s="5">
        <v>0</v>
      </c>
      <c r="DC58" s="12">
        <f t="shared" si="0"/>
        <v>4.7142857142857144</v>
      </c>
      <c r="DD58" s="12">
        <f t="shared" si="1"/>
        <v>66</v>
      </c>
      <c r="DF58" s="8">
        <f t="shared" ref="DF58:DH92" si="7">MMULT($C58:$CH58,CU$5:CU$88)</f>
        <v>0</v>
      </c>
      <c r="DG58" s="8">
        <f t="shared" si="7"/>
        <v>0</v>
      </c>
      <c r="DH58" s="8">
        <f t="shared" si="7"/>
        <v>0</v>
      </c>
      <c r="DI58" s="8">
        <f t="shared" si="6"/>
        <v>0</v>
      </c>
      <c r="DJ58" s="8">
        <f t="shared" si="6"/>
        <v>0</v>
      </c>
      <c r="DK58" s="8">
        <f t="shared" si="6"/>
        <v>0</v>
      </c>
      <c r="DL58" s="8">
        <f t="shared" si="6"/>
        <v>0</v>
      </c>
      <c r="DO58" s="1" t="s">
        <v>93</v>
      </c>
      <c r="DP58" s="1" t="s">
        <v>94</v>
      </c>
      <c r="DR58" s="1" t="s">
        <v>265</v>
      </c>
    </row>
    <row r="59" spans="1:122" ht="19.5" x14ac:dyDescent="0.4">
      <c r="A59" t="s">
        <v>380</v>
      </c>
      <c r="B59">
        <v>0</v>
      </c>
      <c r="C59">
        <v>0</v>
      </c>
      <c r="D59">
        <v>0</v>
      </c>
      <c r="E59">
        <v>0</v>
      </c>
      <c r="F59">
        <v>0</v>
      </c>
      <c r="G59">
        <v>1</v>
      </c>
      <c r="H59">
        <v>0</v>
      </c>
      <c r="I59">
        <v>0</v>
      </c>
      <c r="J59">
        <v>-1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-1</v>
      </c>
      <c r="AD59">
        <v>1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-1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1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/>
      <c r="CP59" s="1">
        <v>55</v>
      </c>
      <c r="CQ59" s="1" t="s">
        <v>226</v>
      </c>
      <c r="CT59" s="13" t="s">
        <v>381</v>
      </c>
      <c r="CU59" s="5">
        <v>14</v>
      </c>
      <c r="CV59" s="5">
        <v>20</v>
      </c>
      <c r="CW59" s="5">
        <v>4</v>
      </c>
      <c r="CX59" s="5">
        <v>0</v>
      </c>
      <c r="CY59" s="5">
        <v>0</v>
      </c>
      <c r="CZ59" s="5">
        <v>0</v>
      </c>
      <c r="DA59" s="5">
        <v>0</v>
      </c>
      <c r="DC59" s="12">
        <f t="shared" si="0"/>
        <v>4.8571428571428568</v>
      </c>
      <c r="DD59" s="12">
        <f t="shared" si="1"/>
        <v>68</v>
      </c>
      <c r="DF59" s="8">
        <f t="shared" si="7"/>
        <v>0</v>
      </c>
      <c r="DG59" s="8">
        <f t="shared" si="7"/>
        <v>0</v>
      </c>
      <c r="DH59" s="8">
        <f t="shared" si="7"/>
        <v>0</v>
      </c>
      <c r="DI59" s="8">
        <f t="shared" si="6"/>
        <v>0</v>
      </c>
      <c r="DJ59" s="8">
        <f t="shared" si="6"/>
        <v>0</v>
      </c>
      <c r="DK59" s="8">
        <f t="shared" si="6"/>
        <v>0</v>
      </c>
      <c r="DL59" s="8">
        <f t="shared" si="6"/>
        <v>0</v>
      </c>
      <c r="DO59" s="1" t="s">
        <v>95</v>
      </c>
      <c r="DP59" s="1" t="s">
        <v>96</v>
      </c>
      <c r="DR59" s="1" t="s">
        <v>265</v>
      </c>
    </row>
    <row r="60" spans="1:122" ht="16.5" x14ac:dyDescent="0.35">
      <c r="A60" t="s">
        <v>382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-1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2</v>
      </c>
      <c r="AD60">
        <v>-1</v>
      </c>
      <c r="AE60">
        <v>0</v>
      </c>
      <c r="AF60">
        <v>0</v>
      </c>
      <c r="AG60">
        <v>0</v>
      </c>
      <c r="AH60">
        <v>0</v>
      </c>
      <c r="AI60">
        <v>-1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1</v>
      </c>
      <c r="AQ60">
        <v>-1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/>
      <c r="CP60" s="1">
        <v>56</v>
      </c>
      <c r="CQ60" s="1" t="s">
        <v>227</v>
      </c>
      <c r="CT60" s="13" t="s">
        <v>383</v>
      </c>
      <c r="CU60" s="5">
        <v>5</v>
      </c>
      <c r="CV60" s="5">
        <v>9</v>
      </c>
      <c r="CW60" s="5">
        <v>8</v>
      </c>
      <c r="CX60" s="5">
        <v>0</v>
      </c>
      <c r="CY60" s="5">
        <v>1</v>
      </c>
      <c r="CZ60" s="5">
        <v>0</v>
      </c>
      <c r="DA60" s="5">
        <v>-2</v>
      </c>
      <c r="DC60" s="12">
        <f t="shared" si="0"/>
        <v>4</v>
      </c>
      <c r="DD60" s="12">
        <f t="shared" si="1"/>
        <v>20</v>
      </c>
      <c r="DF60" s="8">
        <f t="shared" si="7"/>
        <v>0</v>
      </c>
      <c r="DG60" s="8">
        <f t="shared" si="7"/>
        <v>0</v>
      </c>
      <c r="DH60" s="8">
        <f t="shared" si="7"/>
        <v>0</v>
      </c>
      <c r="DI60" s="8">
        <f t="shared" si="6"/>
        <v>0</v>
      </c>
      <c r="DJ60" s="8">
        <f t="shared" si="6"/>
        <v>0</v>
      </c>
      <c r="DK60" s="8">
        <f t="shared" si="6"/>
        <v>0</v>
      </c>
      <c r="DL60" s="8">
        <f t="shared" si="6"/>
        <v>0</v>
      </c>
      <c r="DO60" s="1" t="s">
        <v>97</v>
      </c>
      <c r="DP60" s="1" t="s">
        <v>98</v>
      </c>
      <c r="DR60" s="1" t="s">
        <v>265</v>
      </c>
    </row>
    <row r="61" spans="1:122" ht="16.5" x14ac:dyDescent="0.35">
      <c r="A61" t="s">
        <v>384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-1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1</v>
      </c>
      <c r="AD61">
        <v>0</v>
      </c>
      <c r="AE61">
        <v>0</v>
      </c>
      <c r="AF61">
        <v>0</v>
      </c>
      <c r="AG61">
        <v>1</v>
      </c>
      <c r="AH61">
        <v>0</v>
      </c>
      <c r="AI61">
        <v>-2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1</v>
      </c>
      <c r="AQ61">
        <v>-1</v>
      </c>
      <c r="AR61">
        <v>-1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/>
      <c r="CP61" s="1">
        <v>57</v>
      </c>
      <c r="CQ61" s="1" t="s">
        <v>228</v>
      </c>
      <c r="CT61" s="13" t="s">
        <v>383</v>
      </c>
      <c r="CU61" s="5">
        <v>5</v>
      </c>
      <c r="CV61" s="5">
        <v>9</v>
      </c>
      <c r="CW61" s="5">
        <v>8</v>
      </c>
      <c r="CX61" s="5">
        <v>0</v>
      </c>
      <c r="CY61" s="5">
        <v>1</v>
      </c>
      <c r="CZ61" s="5">
        <v>0</v>
      </c>
      <c r="DA61" s="5">
        <v>-2</v>
      </c>
      <c r="DC61" s="12">
        <f t="shared" si="0"/>
        <v>4</v>
      </c>
      <c r="DD61" s="12">
        <f t="shared" si="1"/>
        <v>20</v>
      </c>
      <c r="DF61" s="8">
        <f t="shared" si="7"/>
        <v>0</v>
      </c>
      <c r="DG61" s="8">
        <f t="shared" si="7"/>
        <v>0</v>
      </c>
      <c r="DH61" s="8">
        <f t="shared" si="7"/>
        <v>0</v>
      </c>
      <c r="DI61" s="8">
        <f t="shared" si="6"/>
        <v>0</v>
      </c>
      <c r="DJ61" s="8">
        <f t="shared" si="6"/>
        <v>0</v>
      </c>
      <c r="DK61" s="8">
        <f t="shared" si="6"/>
        <v>0</v>
      </c>
      <c r="DL61" s="8">
        <f t="shared" si="6"/>
        <v>0</v>
      </c>
      <c r="DO61" s="1" t="s">
        <v>99</v>
      </c>
      <c r="DP61" s="1" t="s">
        <v>100</v>
      </c>
      <c r="DR61" s="1" t="s">
        <v>273</v>
      </c>
    </row>
    <row r="62" spans="1:122" ht="16.5" x14ac:dyDescent="0.35">
      <c r="A62" t="s">
        <v>385</v>
      </c>
      <c r="B62">
        <v>0</v>
      </c>
      <c r="C62">
        <v>0</v>
      </c>
      <c r="D62">
        <v>0</v>
      </c>
      <c r="E62">
        <v>0</v>
      </c>
      <c r="F62">
        <v>0</v>
      </c>
      <c r="G62">
        <v>1</v>
      </c>
      <c r="H62">
        <v>0</v>
      </c>
      <c r="I62">
        <v>0</v>
      </c>
      <c r="J62">
        <v>-1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-1</v>
      </c>
      <c r="AH62">
        <v>0</v>
      </c>
      <c r="AI62">
        <v>1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1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/>
      <c r="CP62" s="1">
        <v>58</v>
      </c>
      <c r="CQ62" s="1" t="s">
        <v>229</v>
      </c>
      <c r="CT62" s="13" t="s">
        <v>386</v>
      </c>
      <c r="CU62" s="5">
        <v>0</v>
      </c>
      <c r="CV62" s="5">
        <v>2</v>
      </c>
      <c r="CW62" s="5">
        <v>0</v>
      </c>
      <c r="CX62" s="5">
        <v>0</v>
      </c>
      <c r="CY62" s="5">
        <v>0</v>
      </c>
      <c r="CZ62" s="5">
        <v>1</v>
      </c>
      <c r="DA62" s="5">
        <v>0</v>
      </c>
      <c r="DC62" s="12">
        <f t="shared" si="0"/>
        <v>0</v>
      </c>
      <c r="DD62" s="12">
        <f t="shared" si="1"/>
        <v>0</v>
      </c>
      <c r="DF62" s="8">
        <f t="shared" si="7"/>
        <v>0</v>
      </c>
      <c r="DG62" s="8">
        <f t="shared" si="7"/>
        <v>0</v>
      </c>
      <c r="DH62" s="8">
        <f t="shared" si="7"/>
        <v>0</v>
      </c>
      <c r="DI62" s="8">
        <f t="shared" si="6"/>
        <v>0</v>
      </c>
      <c r="DJ62" s="8">
        <f t="shared" si="6"/>
        <v>0</v>
      </c>
      <c r="DK62" s="8">
        <f t="shared" si="6"/>
        <v>0</v>
      </c>
      <c r="DL62" s="8">
        <f t="shared" si="6"/>
        <v>0</v>
      </c>
      <c r="DO62" s="1" t="s">
        <v>101</v>
      </c>
      <c r="DP62" s="1" t="s">
        <v>102</v>
      </c>
      <c r="DR62" s="1" t="s">
        <v>265</v>
      </c>
    </row>
    <row r="63" spans="1:122" ht="16.5" x14ac:dyDescent="0.35">
      <c r="A63" t="s">
        <v>387</v>
      </c>
      <c r="B63">
        <v>0</v>
      </c>
      <c r="C63">
        <v>0</v>
      </c>
      <c r="D63">
        <v>0</v>
      </c>
      <c r="E63">
        <v>0</v>
      </c>
      <c r="F63">
        <v>0</v>
      </c>
      <c r="G63">
        <v>2</v>
      </c>
      <c r="H63">
        <v>0</v>
      </c>
      <c r="I63">
        <v>-1</v>
      </c>
      <c r="J63">
        <v>-1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/>
      <c r="CP63" s="1">
        <v>59</v>
      </c>
      <c r="CQ63" s="1" t="s">
        <v>230</v>
      </c>
      <c r="CT63" s="13" t="s">
        <v>388</v>
      </c>
      <c r="CU63" s="5">
        <v>7</v>
      </c>
      <c r="CV63" s="5">
        <v>13</v>
      </c>
      <c r="CW63" s="5">
        <v>10</v>
      </c>
      <c r="CX63" s="5">
        <v>0</v>
      </c>
      <c r="CY63" s="5">
        <v>1</v>
      </c>
      <c r="CZ63" s="5">
        <v>0</v>
      </c>
      <c r="DA63" s="5">
        <v>-2</v>
      </c>
      <c r="DC63" s="12">
        <f t="shared" si="0"/>
        <v>4</v>
      </c>
      <c r="DD63" s="12">
        <f t="shared" si="1"/>
        <v>28</v>
      </c>
      <c r="DF63" s="8">
        <f t="shared" si="7"/>
        <v>0</v>
      </c>
      <c r="DG63" s="8">
        <f t="shared" si="7"/>
        <v>0</v>
      </c>
      <c r="DH63" s="8">
        <f t="shared" si="7"/>
        <v>0</v>
      </c>
      <c r="DI63" s="8">
        <f t="shared" si="6"/>
        <v>0</v>
      </c>
      <c r="DJ63" s="8">
        <f t="shared" si="6"/>
        <v>0</v>
      </c>
      <c r="DK63" s="8">
        <f t="shared" si="6"/>
        <v>0</v>
      </c>
      <c r="DL63" s="8">
        <f t="shared" si="6"/>
        <v>0</v>
      </c>
      <c r="DO63" s="1" t="s">
        <v>103</v>
      </c>
      <c r="DP63" s="1" t="s">
        <v>104</v>
      </c>
      <c r="DR63" s="1" t="s">
        <v>265</v>
      </c>
    </row>
    <row r="64" spans="1:122" ht="16.5" x14ac:dyDescent="0.35">
      <c r="A64" t="s">
        <v>389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-1</v>
      </c>
      <c r="AH64">
        <v>0</v>
      </c>
      <c r="AI64">
        <v>1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2</v>
      </c>
      <c r="AZ64">
        <v>0</v>
      </c>
      <c r="BA64">
        <v>0</v>
      </c>
      <c r="BB64">
        <v>-1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/>
      <c r="CP64" s="1">
        <v>60</v>
      </c>
      <c r="CQ64" s="1" t="s">
        <v>390</v>
      </c>
      <c r="CT64" s="13" t="s">
        <v>391</v>
      </c>
      <c r="CU64" s="5">
        <v>0</v>
      </c>
      <c r="CV64" s="5">
        <v>0</v>
      </c>
      <c r="CW64" s="5">
        <v>4</v>
      </c>
      <c r="CX64" s="5">
        <v>0</v>
      </c>
      <c r="CY64" s="5">
        <v>0</v>
      </c>
      <c r="CZ64" s="5">
        <v>1</v>
      </c>
      <c r="DA64" s="5">
        <v>-2</v>
      </c>
      <c r="DC64" s="12">
        <f t="shared" si="0"/>
        <v>-8</v>
      </c>
      <c r="DD64" s="12">
        <f t="shared" si="1"/>
        <v>-8</v>
      </c>
      <c r="DF64" s="8">
        <f t="shared" si="7"/>
        <v>0</v>
      </c>
      <c r="DG64" s="8">
        <f t="shared" si="7"/>
        <v>0</v>
      </c>
      <c r="DH64" s="8">
        <f t="shared" si="7"/>
        <v>0</v>
      </c>
      <c r="DI64" s="8">
        <f t="shared" si="6"/>
        <v>0</v>
      </c>
      <c r="DJ64" s="8">
        <f t="shared" si="6"/>
        <v>0</v>
      </c>
      <c r="DK64" s="8">
        <f t="shared" si="6"/>
        <v>0</v>
      </c>
      <c r="DL64" s="8">
        <f t="shared" si="6"/>
        <v>0</v>
      </c>
      <c r="DO64" s="1" t="s">
        <v>105</v>
      </c>
      <c r="DP64" s="1" t="s">
        <v>106</v>
      </c>
      <c r="DR64" s="1" t="s">
        <v>265</v>
      </c>
    </row>
    <row r="65" spans="1:122" ht="16.5" x14ac:dyDescent="0.35">
      <c r="A65" t="s">
        <v>392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1</v>
      </c>
      <c r="AG65">
        <v>0</v>
      </c>
      <c r="AH65">
        <v>0</v>
      </c>
      <c r="AI65">
        <v>-1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/>
      <c r="CP65" s="1">
        <v>61</v>
      </c>
      <c r="CQ65" s="1" t="s">
        <v>232</v>
      </c>
      <c r="CT65" s="13" t="s">
        <v>393</v>
      </c>
      <c r="CU65" s="5">
        <v>4</v>
      </c>
      <c r="CV65" s="5">
        <v>4</v>
      </c>
      <c r="CW65" s="5">
        <v>4</v>
      </c>
      <c r="CX65" s="5">
        <v>0</v>
      </c>
      <c r="CY65" s="5">
        <v>0</v>
      </c>
      <c r="CZ65" s="5">
        <v>0</v>
      </c>
      <c r="DA65" s="5">
        <v>-2</v>
      </c>
      <c r="DC65" s="12">
        <f t="shared" si="0"/>
        <v>3.5</v>
      </c>
      <c r="DD65" s="12">
        <f t="shared" si="1"/>
        <v>14</v>
      </c>
      <c r="DF65" s="8">
        <f t="shared" si="7"/>
        <v>0</v>
      </c>
      <c r="DG65" s="8">
        <f t="shared" si="7"/>
        <v>0</v>
      </c>
      <c r="DH65" s="8">
        <f t="shared" si="7"/>
        <v>0</v>
      </c>
      <c r="DI65" s="8">
        <f t="shared" si="6"/>
        <v>0</v>
      </c>
      <c r="DJ65" s="8">
        <f t="shared" si="6"/>
        <v>0</v>
      </c>
      <c r="DK65" s="8">
        <f t="shared" si="6"/>
        <v>0</v>
      </c>
      <c r="DL65" s="8">
        <f t="shared" si="6"/>
        <v>0</v>
      </c>
      <c r="DO65" s="1" t="s">
        <v>107</v>
      </c>
      <c r="DP65" s="1" t="s">
        <v>108</v>
      </c>
      <c r="DR65" s="1" t="s">
        <v>265</v>
      </c>
    </row>
    <row r="66" spans="1:122" ht="16.5" x14ac:dyDescent="0.35">
      <c r="A66" t="s">
        <v>394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-1</v>
      </c>
      <c r="AG66">
        <v>0</v>
      </c>
      <c r="AH66">
        <v>0</v>
      </c>
      <c r="AI66">
        <v>1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/>
      <c r="CP66" s="1">
        <v>62</v>
      </c>
      <c r="CQ66" s="1" t="s">
        <v>233</v>
      </c>
      <c r="CT66" s="13" t="s">
        <v>395</v>
      </c>
      <c r="CU66" s="5">
        <v>25</v>
      </c>
      <c r="CV66" s="5">
        <v>35</v>
      </c>
      <c r="CW66" s="5">
        <v>19</v>
      </c>
      <c r="CX66" s="5">
        <v>7</v>
      </c>
      <c r="CY66" s="5">
        <v>3</v>
      </c>
      <c r="CZ66" s="5">
        <v>1</v>
      </c>
      <c r="DA66" s="5">
        <v>-5</v>
      </c>
      <c r="DC66" s="12">
        <f t="shared" si="0"/>
        <v>3.76</v>
      </c>
      <c r="DD66" s="12">
        <f t="shared" si="1"/>
        <v>94</v>
      </c>
      <c r="DF66" s="8">
        <f t="shared" si="7"/>
        <v>0</v>
      </c>
      <c r="DG66" s="8">
        <f t="shared" si="7"/>
        <v>0</v>
      </c>
      <c r="DH66" s="8">
        <f t="shared" si="7"/>
        <v>0</v>
      </c>
      <c r="DI66" s="8">
        <f t="shared" si="6"/>
        <v>0</v>
      </c>
      <c r="DJ66" s="8">
        <f t="shared" si="6"/>
        <v>0</v>
      </c>
      <c r="DK66" s="8">
        <f t="shared" si="6"/>
        <v>0</v>
      </c>
      <c r="DL66" s="8">
        <f t="shared" si="6"/>
        <v>0</v>
      </c>
      <c r="DO66" s="1" t="s">
        <v>109</v>
      </c>
      <c r="DP66" s="1" t="s">
        <v>110</v>
      </c>
      <c r="DR66" s="1" t="s">
        <v>265</v>
      </c>
    </row>
    <row r="67" spans="1:122" ht="16.5" x14ac:dyDescent="0.35">
      <c r="A67" t="s">
        <v>396</v>
      </c>
      <c r="B67">
        <v>0</v>
      </c>
      <c r="C67">
        <v>0</v>
      </c>
      <c r="D67">
        <v>0</v>
      </c>
      <c r="E67">
        <v>0</v>
      </c>
      <c r="F67">
        <v>-0.95</v>
      </c>
      <c r="G67">
        <v>36.9</v>
      </c>
      <c r="H67">
        <v>6.04</v>
      </c>
      <c r="I67">
        <v>0</v>
      </c>
      <c r="J67">
        <v>-36.9</v>
      </c>
      <c r="K67">
        <v>1</v>
      </c>
      <c r="L67">
        <v>0</v>
      </c>
      <c r="M67">
        <v>0</v>
      </c>
      <c r="N67">
        <v>0</v>
      </c>
      <c r="O67">
        <v>0.95</v>
      </c>
      <c r="P67">
        <v>0</v>
      </c>
      <c r="Q67">
        <v>-0.41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-0.05</v>
      </c>
      <c r="AB67">
        <v>0</v>
      </c>
      <c r="AC67">
        <v>-4.4000000000000004</v>
      </c>
      <c r="AD67">
        <v>-2.77</v>
      </c>
      <c r="AE67">
        <v>0</v>
      </c>
      <c r="AF67">
        <v>0</v>
      </c>
      <c r="AG67">
        <v>-26.83</v>
      </c>
      <c r="AH67">
        <v>0</v>
      </c>
      <c r="AI67">
        <v>22.88</v>
      </c>
      <c r="AJ67">
        <v>0</v>
      </c>
      <c r="AK67">
        <v>0</v>
      </c>
      <c r="AL67">
        <v>0</v>
      </c>
      <c r="AM67">
        <v>0</v>
      </c>
      <c r="AN67">
        <v>-3.26</v>
      </c>
      <c r="AO67">
        <v>3.26</v>
      </c>
      <c r="AP67">
        <v>13.53</v>
      </c>
      <c r="AQ67">
        <v>-13.53</v>
      </c>
      <c r="AR67">
        <v>0</v>
      </c>
      <c r="AS67">
        <v>0</v>
      </c>
      <c r="AT67">
        <v>0</v>
      </c>
      <c r="AU67">
        <v>0</v>
      </c>
      <c r="AV67">
        <v>-1.88</v>
      </c>
      <c r="AW67">
        <v>-2.1</v>
      </c>
      <c r="AX67">
        <v>0</v>
      </c>
      <c r="AY67">
        <v>38.93</v>
      </c>
      <c r="AZ67">
        <v>0</v>
      </c>
      <c r="BA67">
        <v>0</v>
      </c>
      <c r="BB67">
        <v>0</v>
      </c>
      <c r="BC67">
        <v>-3.13</v>
      </c>
      <c r="BD67">
        <v>0</v>
      </c>
      <c r="BE67">
        <v>0</v>
      </c>
      <c r="BF67">
        <v>-0.69</v>
      </c>
      <c r="BG67">
        <v>0</v>
      </c>
      <c r="BH67">
        <v>-0.5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-6.28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/>
      <c r="CP67" s="1">
        <v>63</v>
      </c>
      <c r="CQ67" s="1" t="s">
        <v>234</v>
      </c>
      <c r="CT67" s="13" t="s">
        <v>397</v>
      </c>
      <c r="CU67" s="5">
        <v>5</v>
      </c>
      <c r="CV67" s="5">
        <v>9</v>
      </c>
      <c r="CW67" s="5">
        <v>8</v>
      </c>
      <c r="CX67" s="5">
        <v>0</v>
      </c>
      <c r="CY67" s="5">
        <v>1</v>
      </c>
      <c r="CZ67" s="5">
        <v>0</v>
      </c>
      <c r="DA67" s="5">
        <v>-2</v>
      </c>
      <c r="DC67" s="12">
        <f t="shared" si="0"/>
        <v>4</v>
      </c>
      <c r="DD67" s="12">
        <f t="shared" si="1"/>
        <v>20</v>
      </c>
      <c r="DF67" s="8">
        <f t="shared" si="7"/>
        <v>1.2361623616210959E-2</v>
      </c>
      <c r="DG67" s="8">
        <f t="shared" si="7"/>
        <v>1.0000000000045972E-2</v>
      </c>
      <c r="DH67" s="8">
        <f t="shared" si="7"/>
        <v>8.4870848708895608E-3</v>
      </c>
      <c r="DI67" s="8">
        <f t="shared" si="6"/>
        <v>2.309963099629897E-2</v>
      </c>
      <c r="DJ67" s="8">
        <f t="shared" si="6"/>
        <v>-2.2878228782183818E-3</v>
      </c>
      <c r="DK67" s="8">
        <f t="shared" si="6"/>
        <v>1.6605166051660514E-2</v>
      </c>
      <c r="DL67" s="8">
        <f t="shared" si="6"/>
        <v>8.8817841970012523E-15</v>
      </c>
      <c r="DO67" s="1" t="s">
        <v>111</v>
      </c>
      <c r="DP67" s="1" t="s">
        <v>112</v>
      </c>
      <c r="DR67" s="1" t="s">
        <v>265</v>
      </c>
    </row>
    <row r="68" spans="1:122" ht="16.5" x14ac:dyDescent="0.25">
      <c r="A68" t="s">
        <v>398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-1</v>
      </c>
      <c r="S68">
        <v>1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/>
      <c r="CP68" s="1">
        <v>64</v>
      </c>
      <c r="CQ68" s="1" t="s">
        <v>235</v>
      </c>
      <c r="CT68" s="16" t="s">
        <v>377</v>
      </c>
      <c r="CU68" s="5">
        <v>3</v>
      </c>
      <c r="CV68" s="5">
        <v>3</v>
      </c>
      <c r="CW68" s="5">
        <v>3</v>
      </c>
      <c r="CX68" s="5">
        <v>0</v>
      </c>
      <c r="CY68" s="5">
        <v>0</v>
      </c>
      <c r="CZ68" s="5">
        <v>0</v>
      </c>
      <c r="DA68" s="5">
        <v>-1</v>
      </c>
      <c r="DC68" s="12">
        <f t="shared" si="0"/>
        <v>3.3333333333333335</v>
      </c>
      <c r="DD68" s="12">
        <f t="shared" si="1"/>
        <v>10</v>
      </c>
      <c r="DF68" s="8">
        <f t="shared" si="7"/>
        <v>0</v>
      </c>
      <c r="DG68" s="8">
        <f t="shared" si="7"/>
        <v>0</v>
      </c>
      <c r="DH68" s="8">
        <f t="shared" si="7"/>
        <v>0</v>
      </c>
      <c r="DI68" s="8">
        <f t="shared" si="6"/>
        <v>0</v>
      </c>
      <c r="DJ68" s="8">
        <f t="shared" si="6"/>
        <v>0</v>
      </c>
      <c r="DK68" s="8">
        <f t="shared" si="6"/>
        <v>0</v>
      </c>
      <c r="DL68" s="8">
        <f t="shared" si="6"/>
        <v>0</v>
      </c>
      <c r="DO68" s="1" t="s">
        <v>113</v>
      </c>
      <c r="DP68" s="1" t="s">
        <v>114</v>
      </c>
      <c r="DR68" s="1" t="s">
        <v>265</v>
      </c>
    </row>
    <row r="69" spans="1:122" ht="16.5" x14ac:dyDescent="0.25">
      <c r="A69" t="s">
        <v>399</v>
      </c>
      <c r="B69">
        <v>0</v>
      </c>
      <c r="C69">
        <v>0</v>
      </c>
      <c r="D69">
        <v>-1</v>
      </c>
      <c r="E69">
        <v>1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1</v>
      </c>
      <c r="AG69">
        <v>0</v>
      </c>
      <c r="AH69">
        <v>0</v>
      </c>
      <c r="AI69">
        <v>-1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/>
      <c r="CP69" s="1">
        <v>65</v>
      </c>
      <c r="CQ69" s="1" t="s">
        <v>236</v>
      </c>
      <c r="CT69" s="16" t="s">
        <v>400</v>
      </c>
      <c r="CU69" s="5">
        <v>3</v>
      </c>
      <c r="CV69" s="5">
        <v>4</v>
      </c>
      <c r="CW69" s="5">
        <v>10</v>
      </c>
      <c r="CX69" s="5">
        <v>0</v>
      </c>
      <c r="CY69" s="5">
        <v>2</v>
      </c>
      <c r="CZ69" s="5">
        <v>0</v>
      </c>
      <c r="DA69" s="5">
        <v>-4</v>
      </c>
      <c r="DC69" s="12">
        <f t="shared" ref="DC69:DC79" si="8">IF(CU69=0,(4*CU69+CV69-2*CW69-3*CX69+5*CY69-2*CZ69-DA69),(4*CU69+CV69-2*CW69-3*CX69+5*CY69-2*CZ69-DA69)/CU69)</f>
        <v>3.3333333333333335</v>
      </c>
      <c r="DD69" s="12">
        <f t="shared" ref="DD69:DD88" si="9">IF(CU69=0,DC69,DC69*CU69)</f>
        <v>10</v>
      </c>
      <c r="DF69" s="8">
        <f t="shared" si="7"/>
        <v>0</v>
      </c>
      <c r="DG69" s="8">
        <f t="shared" si="7"/>
        <v>0</v>
      </c>
      <c r="DH69" s="8">
        <f t="shared" si="7"/>
        <v>0</v>
      </c>
      <c r="DI69" s="8">
        <f t="shared" si="6"/>
        <v>0</v>
      </c>
      <c r="DJ69" s="8">
        <f t="shared" si="6"/>
        <v>0</v>
      </c>
      <c r="DK69" s="8">
        <f t="shared" si="6"/>
        <v>0</v>
      </c>
      <c r="DL69" s="8">
        <f t="shared" si="6"/>
        <v>0</v>
      </c>
      <c r="DO69" s="1" t="s">
        <v>115</v>
      </c>
      <c r="DP69" s="1" t="s">
        <v>401</v>
      </c>
      <c r="DR69" s="1" t="s">
        <v>265</v>
      </c>
    </row>
    <row r="70" spans="1:122" ht="16.5" x14ac:dyDescent="0.35">
      <c r="A70" t="s">
        <v>402</v>
      </c>
      <c r="B70">
        <v>0</v>
      </c>
      <c r="C70">
        <v>0</v>
      </c>
      <c r="D70">
        <v>1</v>
      </c>
      <c r="E70">
        <v>-1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-1</v>
      </c>
      <c r="AG70">
        <v>0</v>
      </c>
      <c r="AH70">
        <v>0</v>
      </c>
      <c r="AI70">
        <v>1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-0.27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-2</v>
      </c>
      <c r="CJ70">
        <v>0</v>
      </c>
      <c r="CK70">
        <v>-8</v>
      </c>
      <c r="CL70">
        <v>0</v>
      </c>
      <c r="CM70">
        <v>-1</v>
      </c>
      <c r="CN70">
        <v>0</v>
      </c>
      <c r="CO70"/>
      <c r="CP70" s="1">
        <v>66</v>
      </c>
      <c r="CQ70" s="1" t="s">
        <v>237</v>
      </c>
      <c r="CT70" s="13" t="s">
        <v>363</v>
      </c>
      <c r="CU70" s="5">
        <v>3</v>
      </c>
      <c r="CV70" s="5">
        <v>4</v>
      </c>
      <c r="CW70" s="5">
        <v>7</v>
      </c>
      <c r="CX70" s="5">
        <v>0</v>
      </c>
      <c r="CY70" s="5">
        <v>1</v>
      </c>
      <c r="CZ70" s="5">
        <v>0</v>
      </c>
      <c r="DA70" s="5">
        <v>-3</v>
      </c>
      <c r="DC70" s="12">
        <f t="shared" si="8"/>
        <v>3.3333333333333335</v>
      </c>
      <c r="DD70" s="12">
        <f t="shared" si="9"/>
        <v>10</v>
      </c>
      <c r="DF70" s="8">
        <f t="shared" si="7"/>
        <v>0</v>
      </c>
      <c r="DG70" s="8">
        <f t="shared" si="7"/>
        <v>0</v>
      </c>
      <c r="DH70" s="8">
        <f t="shared" si="7"/>
        <v>0</v>
      </c>
      <c r="DI70" s="8">
        <f t="shared" si="6"/>
        <v>0</v>
      </c>
      <c r="DJ70" s="8">
        <f t="shared" si="6"/>
        <v>0</v>
      </c>
      <c r="DK70" s="8">
        <f t="shared" si="6"/>
        <v>0</v>
      </c>
      <c r="DL70" s="8">
        <f t="shared" si="6"/>
        <v>0</v>
      </c>
      <c r="DO70" s="1" t="s">
        <v>116</v>
      </c>
      <c r="DP70" s="1" t="s">
        <v>403</v>
      </c>
      <c r="DR70" s="1" t="s">
        <v>265</v>
      </c>
    </row>
    <row r="71" spans="1:122" ht="16.5" x14ac:dyDescent="0.35">
      <c r="A71" t="s">
        <v>404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1</v>
      </c>
      <c r="AS71">
        <v>-1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-0.25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/>
      <c r="CP71" s="1">
        <v>67</v>
      </c>
      <c r="CQ71" s="1" t="s">
        <v>238</v>
      </c>
      <c r="CT71" s="13" t="s">
        <v>405</v>
      </c>
      <c r="CU71" s="5">
        <v>6</v>
      </c>
      <c r="CV71" s="5">
        <v>9</v>
      </c>
      <c r="CW71" s="5">
        <v>9</v>
      </c>
      <c r="CX71" s="5">
        <v>0</v>
      </c>
      <c r="CY71" s="5">
        <v>1</v>
      </c>
      <c r="CZ71" s="5">
        <v>0</v>
      </c>
      <c r="DA71" s="5">
        <v>-2</v>
      </c>
      <c r="DC71" s="12">
        <f t="shared" si="8"/>
        <v>3.6666666666666665</v>
      </c>
      <c r="DD71" s="12">
        <f t="shared" si="9"/>
        <v>22</v>
      </c>
      <c r="DF71" s="8">
        <f t="shared" si="7"/>
        <v>0</v>
      </c>
      <c r="DG71" s="8">
        <f t="shared" si="7"/>
        <v>0</v>
      </c>
      <c r="DH71" s="8">
        <f t="shared" si="7"/>
        <v>0</v>
      </c>
      <c r="DI71" s="8">
        <f t="shared" si="6"/>
        <v>0</v>
      </c>
      <c r="DJ71" s="8">
        <f t="shared" si="6"/>
        <v>0</v>
      </c>
      <c r="DK71" s="8">
        <f t="shared" si="6"/>
        <v>0</v>
      </c>
      <c r="DL71" s="8">
        <f t="shared" si="6"/>
        <v>0</v>
      </c>
      <c r="DO71" s="1" t="s">
        <v>117</v>
      </c>
      <c r="DP71" s="1" t="s">
        <v>406</v>
      </c>
      <c r="DR71" s="1" t="s">
        <v>265</v>
      </c>
    </row>
    <row r="72" spans="1:122" ht="19.5" x14ac:dyDescent="0.4">
      <c r="A72" t="s">
        <v>407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1</v>
      </c>
      <c r="AG72">
        <v>0</v>
      </c>
      <c r="AH72">
        <v>0</v>
      </c>
      <c r="AI72">
        <v>-1</v>
      </c>
      <c r="AJ72">
        <v>0</v>
      </c>
      <c r="AK72">
        <v>-1</v>
      </c>
      <c r="AL72">
        <v>1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/>
      <c r="CP72" s="1">
        <v>68</v>
      </c>
      <c r="CQ72" s="1" t="s">
        <v>239</v>
      </c>
      <c r="CT72" s="13" t="s">
        <v>408</v>
      </c>
      <c r="CU72" s="5">
        <v>6</v>
      </c>
      <c r="CV72" s="5">
        <v>8</v>
      </c>
      <c r="CW72" s="5">
        <v>9</v>
      </c>
      <c r="CX72" s="5">
        <v>0</v>
      </c>
      <c r="CY72" s="5">
        <v>1</v>
      </c>
      <c r="CZ72" s="5">
        <v>0</v>
      </c>
      <c r="DA72" s="5">
        <v>-3</v>
      </c>
      <c r="DC72" s="12">
        <f t="shared" si="8"/>
        <v>3.6666666666666665</v>
      </c>
      <c r="DD72" s="12">
        <f t="shared" si="9"/>
        <v>22</v>
      </c>
      <c r="DF72" s="8">
        <f t="shared" si="7"/>
        <v>0</v>
      </c>
      <c r="DG72" s="8">
        <f t="shared" si="7"/>
        <v>0</v>
      </c>
      <c r="DH72" s="8">
        <f t="shared" si="7"/>
        <v>0</v>
      </c>
      <c r="DI72" s="8">
        <f t="shared" si="6"/>
        <v>0</v>
      </c>
      <c r="DJ72" s="8">
        <f t="shared" si="6"/>
        <v>0</v>
      </c>
      <c r="DK72" s="8">
        <f t="shared" si="6"/>
        <v>0</v>
      </c>
      <c r="DL72" s="8">
        <f t="shared" si="6"/>
        <v>0</v>
      </c>
      <c r="DO72" s="1" t="s">
        <v>118</v>
      </c>
      <c r="DP72" s="1" t="s">
        <v>409</v>
      </c>
      <c r="DR72" s="1" t="s">
        <v>265</v>
      </c>
    </row>
    <row r="73" spans="1:122" ht="16.5" x14ac:dyDescent="0.35">
      <c r="A73" t="s">
        <v>410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-1</v>
      </c>
      <c r="AG73">
        <v>0</v>
      </c>
      <c r="AH73">
        <v>0</v>
      </c>
      <c r="AI73">
        <v>1</v>
      </c>
      <c r="AJ73">
        <v>0</v>
      </c>
      <c r="AK73">
        <v>1</v>
      </c>
      <c r="AL73">
        <v>-1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-0.27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-3</v>
      </c>
      <c r="CJ73">
        <v>0</v>
      </c>
      <c r="CK73">
        <v>-12</v>
      </c>
      <c r="CL73">
        <v>0</v>
      </c>
      <c r="CM73">
        <v>-1</v>
      </c>
      <c r="CN73">
        <v>0</v>
      </c>
      <c r="CO73"/>
      <c r="CP73" s="1">
        <v>69</v>
      </c>
      <c r="CQ73" s="1" t="s">
        <v>240</v>
      </c>
      <c r="CT73" s="13" t="s">
        <v>393</v>
      </c>
      <c r="CU73" s="5">
        <v>4</v>
      </c>
      <c r="CV73" s="5">
        <v>4</v>
      </c>
      <c r="CW73" s="5">
        <v>4</v>
      </c>
      <c r="CX73" s="5">
        <v>0</v>
      </c>
      <c r="CY73" s="5">
        <v>0</v>
      </c>
      <c r="CZ73" s="5">
        <v>0</v>
      </c>
      <c r="DA73" s="5">
        <v>-2</v>
      </c>
      <c r="DC73" s="12">
        <f t="shared" si="8"/>
        <v>3.5</v>
      </c>
      <c r="DD73" s="12">
        <f t="shared" si="9"/>
        <v>14</v>
      </c>
      <c r="DF73" s="8">
        <f t="shared" si="7"/>
        <v>0</v>
      </c>
      <c r="DG73" s="8">
        <f t="shared" si="7"/>
        <v>0</v>
      </c>
      <c r="DH73" s="8">
        <f t="shared" si="7"/>
        <v>0</v>
      </c>
      <c r="DI73" s="8">
        <f t="shared" si="6"/>
        <v>0</v>
      </c>
      <c r="DJ73" s="8">
        <f t="shared" si="6"/>
        <v>0</v>
      </c>
      <c r="DK73" s="8">
        <f t="shared" si="6"/>
        <v>0</v>
      </c>
      <c r="DL73" s="8">
        <f t="shared" si="6"/>
        <v>0</v>
      </c>
      <c r="DO73" s="1" t="s">
        <v>119</v>
      </c>
      <c r="DP73" s="1" t="s">
        <v>411</v>
      </c>
      <c r="DR73" s="1" t="s">
        <v>265</v>
      </c>
    </row>
    <row r="74" spans="1:122" ht="16.5" x14ac:dyDescent="0.35">
      <c r="A74" t="s">
        <v>412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</v>
      </c>
      <c r="U74">
        <v>1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1</v>
      </c>
      <c r="AG74">
        <v>0</v>
      </c>
      <c r="AH74">
        <v>0</v>
      </c>
      <c r="AI74">
        <v>-1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/>
      <c r="CP74" s="1">
        <v>70</v>
      </c>
      <c r="CQ74" s="1" t="s">
        <v>241</v>
      </c>
      <c r="CT74" s="13" t="s">
        <v>357</v>
      </c>
      <c r="CU74" s="5">
        <v>4</v>
      </c>
      <c r="CV74" s="5">
        <v>2</v>
      </c>
      <c r="CW74" s="5">
        <v>5</v>
      </c>
      <c r="CX74" s="5">
        <v>0</v>
      </c>
      <c r="CY74" s="5">
        <v>0</v>
      </c>
      <c r="CZ74" s="5">
        <v>0</v>
      </c>
      <c r="DA74" s="5">
        <v>-2</v>
      </c>
      <c r="DC74" s="12">
        <f t="shared" si="8"/>
        <v>2.5</v>
      </c>
      <c r="DD74" s="12">
        <f t="shared" si="9"/>
        <v>10</v>
      </c>
      <c r="DF74" s="8">
        <f t="shared" si="7"/>
        <v>0</v>
      </c>
      <c r="DG74" s="8">
        <f t="shared" si="7"/>
        <v>0</v>
      </c>
      <c r="DH74" s="8">
        <f t="shared" si="7"/>
        <v>0</v>
      </c>
      <c r="DI74" s="8">
        <f t="shared" si="6"/>
        <v>0</v>
      </c>
      <c r="DJ74" s="8">
        <f t="shared" si="6"/>
        <v>0</v>
      </c>
      <c r="DK74" s="8">
        <f t="shared" si="6"/>
        <v>0</v>
      </c>
      <c r="DL74" s="8">
        <f t="shared" si="6"/>
        <v>0</v>
      </c>
      <c r="DO74" s="1" t="s">
        <v>120</v>
      </c>
      <c r="DP74" s="1" t="s">
        <v>413</v>
      </c>
      <c r="DR74" s="1" t="s">
        <v>265</v>
      </c>
    </row>
    <row r="75" spans="1:122" ht="16.5" x14ac:dyDescent="0.35">
      <c r="A75" t="s">
        <v>414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-1</v>
      </c>
      <c r="N75">
        <v>1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/>
      <c r="CP75" s="1">
        <v>71</v>
      </c>
      <c r="CQ75" s="1" t="s">
        <v>242</v>
      </c>
      <c r="CT75" s="13" t="s">
        <v>312</v>
      </c>
      <c r="CU75" s="5">
        <v>6</v>
      </c>
      <c r="CV75" s="5">
        <v>12</v>
      </c>
      <c r="CW75" s="5">
        <v>6</v>
      </c>
      <c r="CX75" s="5">
        <v>0</v>
      </c>
      <c r="CY75" s="5">
        <v>0</v>
      </c>
      <c r="CZ75" s="5">
        <v>0</v>
      </c>
      <c r="DA75" s="5">
        <v>0</v>
      </c>
      <c r="DC75" s="12">
        <f t="shared" si="8"/>
        <v>4</v>
      </c>
      <c r="DD75" s="12">
        <f t="shared" si="9"/>
        <v>24</v>
      </c>
      <c r="DF75" s="8">
        <f t="shared" si="7"/>
        <v>0</v>
      </c>
      <c r="DG75" s="8">
        <f t="shared" si="7"/>
        <v>0</v>
      </c>
      <c r="DH75" s="8">
        <f t="shared" si="7"/>
        <v>0</v>
      </c>
      <c r="DI75" s="8">
        <f t="shared" si="6"/>
        <v>0</v>
      </c>
      <c r="DJ75" s="8">
        <f t="shared" si="6"/>
        <v>0</v>
      </c>
      <c r="DK75" s="8">
        <f t="shared" si="6"/>
        <v>0</v>
      </c>
      <c r="DL75" s="8">
        <f t="shared" si="6"/>
        <v>0</v>
      </c>
      <c r="DO75" s="1" t="s">
        <v>121</v>
      </c>
      <c r="DP75" s="1" t="s">
        <v>122</v>
      </c>
      <c r="DR75" s="1" t="s">
        <v>265</v>
      </c>
    </row>
    <row r="76" spans="1:122" ht="18" x14ac:dyDescent="0.35">
      <c r="A76" t="s">
        <v>415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1</v>
      </c>
      <c r="N76">
        <v>-1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/>
      <c r="CP76" s="1">
        <v>72</v>
      </c>
      <c r="CQ76" s="1" t="s">
        <v>243</v>
      </c>
      <c r="CT76" s="5" t="s">
        <v>416</v>
      </c>
      <c r="CU76" s="5">
        <v>12</v>
      </c>
      <c r="CV76" s="5">
        <v>22</v>
      </c>
      <c r="CW76" s="5">
        <v>11</v>
      </c>
      <c r="CX76" s="5">
        <v>0</v>
      </c>
      <c r="CY76" s="5">
        <v>0</v>
      </c>
      <c r="CZ76" s="5">
        <v>0</v>
      </c>
      <c r="DA76" s="5">
        <v>0</v>
      </c>
      <c r="DC76" s="12">
        <f t="shared" si="8"/>
        <v>4</v>
      </c>
      <c r="DD76" s="12">
        <f t="shared" si="9"/>
        <v>48</v>
      </c>
      <c r="DF76" s="8">
        <f t="shared" si="7"/>
        <v>0</v>
      </c>
      <c r="DG76" s="8">
        <f t="shared" si="7"/>
        <v>0</v>
      </c>
      <c r="DH76" s="8">
        <f t="shared" si="7"/>
        <v>0</v>
      </c>
      <c r="DI76" s="8">
        <f t="shared" si="6"/>
        <v>0</v>
      </c>
      <c r="DJ76" s="8">
        <f t="shared" si="6"/>
        <v>0</v>
      </c>
      <c r="DK76" s="8">
        <f t="shared" si="6"/>
        <v>0</v>
      </c>
      <c r="DL76" s="8">
        <f t="shared" si="6"/>
        <v>0</v>
      </c>
      <c r="DO76" s="1" t="s">
        <v>123</v>
      </c>
      <c r="DP76" s="1" t="s">
        <v>124</v>
      </c>
      <c r="DR76" s="1" t="s">
        <v>265</v>
      </c>
    </row>
    <row r="77" spans="1:122" ht="18" x14ac:dyDescent="0.35">
      <c r="A77" t="s">
        <v>417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1</v>
      </c>
      <c r="AU77">
        <v>-1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/>
      <c r="CP77" s="1">
        <v>73</v>
      </c>
      <c r="CQ77" s="1" t="s">
        <v>244</v>
      </c>
      <c r="CT77" s="5" t="s">
        <v>418</v>
      </c>
      <c r="CU77" s="5">
        <v>5</v>
      </c>
      <c r="CV77" s="5">
        <v>10</v>
      </c>
      <c r="CW77" s="5">
        <v>5</v>
      </c>
      <c r="CX77" s="5">
        <v>0</v>
      </c>
      <c r="CY77" s="5">
        <v>0</v>
      </c>
      <c r="CZ77" s="5">
        <v>0</v>
      </c>
      <c r="DA77" s="5">
        <v>0</v>
      </c>
      <c r="DC77" s="12">
        <f t="shared" si="8"/>
        <v>4</v>
      </c>
      <c r="DD77" s="12">
        <f t="shared" si="9"/>
        <v>20</v>
      </c>
      <c r="DF77" s="8">
        <f t="shared" si="7"/>
        <v>0</v>
      </c>
      <c r="DG77" s="8">
        <f t="shared" si="7"/>
        <v>0</v>
      </c>
      <c r="DH77" s="8">
        <f t="shared" si="7"/>
        <v>0</v>
      </c>
      <c r="DI77" s="8">
        <f t="shared" si="6"/>
        <v>0</v>
      </c>
      <c r="DJ77" s="8">
        <f t="shared" si="6"/>
        <v>0</v>
      </c>
      <c r="DK77" s="8">
        <f t="shared" si="6"/>
        <v>0</v>
      </c>
      <c r="DL77" s="8">
        <f t="shared" si="6"/>
        <v>0</v>
      </c>
      <c r="DO77" s="1" t="s">
        <v>125</v>
      </c>
      <c r="DP77" s="1" t="s">
        <v>126</v>
      </c>
      <c r="DR77" s="1" t="s">
        <v>265</v>
      </c>
    </row>
    <row r="78" spans="1:122" ht="18" x14ac:dyDescent="0.35">
      <c r="A78" t="s">
        <v>419</v>
      </c>
      <c r="B78">
        <v>0</v>
      </c>
      <c r="C78">
        <v>0</v>
      </c>
      <c r="D78">
        <v>0</v>
      </c>
      <c r="E78">
        <v>0</v>
      </c>
      <c r="F78">
        <v>0</v>
      </c>
      <c r="G78">
        <v>2</v>
      </c>
      <c r="H78">
        <v>0</v>
      </c>
      <c r="I78">
        <v>1</v>
      </c>
      <c r="J78">
        <v>-3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1</v>
      </c>
      <c r="AH78">
        <v>0</v>
      </c>
      <c r="AI78">
        <v>-3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4</v>
      </c>
      <c r="AQ78">
        <v>-4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2</v>
      </c>
      <c r="AZ78">
        <v>0</v>
      </c>
      <c r="BA78">
        <v>0</v>
      </c>
      <c r="BB78">
        <v>1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1</v>
      </c>
      <c r="BI78">
        <v>0</v>
      </c>
      <c r="BJ78">
        <v>-1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-0.22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/>
      <c r="CP78" s="1">
        <v>74</v>
      </c>
      <c r="CQ78" s="1" t="s">
        <v>245</v>
      </c>
      <c r="CT78" s="5" t="s">
        <v>420</v>
      </c>
      <c r="CU78" s="5">
        <v>3</v>
      </c>
      <c r="CV78" s="5">
        <v>8</v>
      </c>
      <c r="CW78" s="5">
        <v>3</v>
      </c>
      <c r="CX78" s="5">
        <v>0</v>
      </c>
      <c r="CY78" s="5">
        <v>0</v>
      </c>
      <c r="CZ78" s="5">
        <v>0</v>
      </c>
      <c r="DA78" s="5">
        <v>0</v>
      </c>
      <c r="DC78" s="12">
        <f t="shared" si="8"/>
        <v>4.666666666666667</v>
      </c>
      <c r="DD78" s="12">
        <f t="shared" si="9"/>
        <v>14</v>
      </c>
      <c r="DF78" s="8">
        <f t="shared" si="7"/>
        <v>0</v>
      </c>
      <c r="DG78" s="8">
        <f t="shared" si="7"/>
        <v>0</v>
      </c>
      <c r="DH78" s="8">
        <f t="shared" si="7"/>
        <v>0</v>
      </c>
      <c r="DI78" s="8">
        <f t="shared" si="6"/>
        <v>0</v>
      </c>
      <c r="DJ78" s="8">
        <f t="shared" si="6"/>
        <v>0</v>
      </c>
      <c r="DK78" s="8">
        <f t="shared" si="6"/>
        <v>0</v>
      </c>
      <c r="DL78" s="8">
        <f t="shared" si="6"/>
        <v>0</v>
      </c>
      <c r="DO78" s="1" t="s">
        <v>127</v>
      </c>
      <c r="DP78" s="1" t="s">
        <v>421</v>
      </c>
      <c r="DR78" s="1" t="s">
        <v>265</v>
      </c>
    </row>
    <row r="79" spans="1:122" ht="15.75" x14ac:dyDescent="0.3">
      <c r="A79" t="s">
        <v>422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-1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/>
      <c r="CP79" s="1">
        <v>75</v>
      </c>
      <c r="CQ79" s="1" t="s">
        <v>246</v>
      </c>
      <c r="CT79" s="13">
        <v>0</v>
      </c>
      <c r="CU79" s="5">
        <v>0</v>
      </c>
      <c r="CV79" s="5">
        <v>0</v>
      </c>
      <c r="CW79" s="5">
        <v>0</v>
      </c>
      <c r="CX79" s="5">
        <v>0</v>
      </c>
      <c r="CY79" s="5">
        <v>0</v>
      </c>
      <c r="CZ79" s="5">
        <v>0</v>
      </c>
      <c r="DA79" s="5">
        <v>0</v>
      </c>
      <c r="DC79" s="12">
        <f t="shared" si="8"/>
        <v>0</v>
      </c>
      <c r="DD79" s="12">
        <f t="shared" si="9"/>
        <v>0</v>
      </c>
      <c r="DF79" s="8">
        <f t="shared" si="7"/>
        <v>0</v>
      </c>
      <c r="DG79" s="8">
        <f t="shared" si="7"/>
        <v>0</v>
      </c>
      <c r="DH79" s="8">
        <f t="shared" si="7"/>
        <v>0</v>
      </c>
      <c r="DI79" s="8">
        <f t="shared" si="6"/>
        <v>0</v>
      </c>
      <c r="DJ79" s="8">
        <f t="shared" si="6"/>
        <v>0</v>
      </c>
      <c r="DK79" s="8">
        <f t="shared" si="6"/>
        <v>0</v>
      </c>
      <c r="DL79" s="8">
        <f t="shared" si="6"/>
        <v>0</v>
      </c>
      <c r="DO79" s="1" t="s">
        <v>128</v>
      </c>
      <c r="DP79" s="1" t="s">
        <v>129</v>
      </c>
      <c r="DR79" s="1" t="s">
        <v>265</v>
      </c>
    </row>
    <row r="80" spans="1:122" ht="15.75" x14ac:dyDescent="0.3">
      <c r="A80" t="s">
        <v>423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1</v>
      </c>
      <c r="AH80">
        <v>-1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/>
      <c r="CP80" s="1">
        <v>76</v>
      </c>
      <c r="CQ80" s="1" t="s">
        <v>247</v>
      </c>
      <c r="CT80" s="13">
        <v>0</v>
      </c>
      <c r="CU80" s="5">
        <v>0</v>
      </c>
      <c r="CV80" s="5">
        <v>0</v>
      </c>
      <c r="CW80" s="5">
        <v>0</v>
      </c>
      <c r="CX80" s="5">
        <v>0</v>
      </c>
      <c r="CY80" s="5">
        <v>0</v>
      </c>
      <c r="CZ80" s="5">
        <v>0</v>
      </c>
      <c r="DA80" s="5">
        <v>0</v>
      </c>
      <c r="DC80" s="12">
        <v>0</v>
      </c>
      <c r="DD80" s="12">
        <f t="shared" si="9"/>
        <v>0</v>
      </c>
      <c r="DF80" s="8">
        <f t="shared" si="7"/>
        <v>0</v>
      </c>
      <c r="DG80" s="8">
        <f t="shared" si="7"/>
        <v>0</v>
      </c>
      <c r="DH80" s="8">
        <f t="shared" si="7"/>
        <v>0</v>
      </c>
      <c r="DI80" s="8">
        <f t="shared" si="6"/>
        <v>0</v>
      </c>
      <c r="DJ80" s="8">
        <f t="shared" si="6"/>
        <v>0</v>
      </c>
      <c r="DK80" s="8">
        <f t="shared" si="6"/>
        <v>0</v>
      </c>
      <c r="DL80" s="8">
        <f t="shared" si="6"/>
        <v>0</v>
      </c>
      <c r="DO80" s="1" t="s">
        <v>130</v>
      </c>
      <c r="DP80" s="1" t="s">
        <v>131</v>
      </c>
      <c r="DR80" s="1" t="s">
        <v>265</v>
      </c>
    </row>
    <row r="81" spans="1:122" ht="16.5" x14ac:dyDescent="0.35">
      <c r="A81" t="s">
        <v>424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1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1</v>
      </c>
      <c r="AZ81">
        <v>-1</v>
      </c>
      <c r="BA81">
        <v>-1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-0.22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/>
      <c r="CP81" s="1">
        <v>77</v>
      </c>
      <c r="CQ81" s="1" t="s">
        <v>248</v>
      </c>
      <c r="CT81" s="13" t="s">
        <v>309</v>
      </c>
      <c r="CU81" s="5">
        <v>4</v>
      </c>
      <c r="CV81" s="5">
        <v>2</v>
      </c>
      <c r="CW81" s="5">
        <v>4</v>
      </c>
      <c r="CX81" s="5">
        <v>0</v>
      </c>
      <c r="CY81" s="5">
        <v>0</v>
      </c>
      <c r="CZ81" s="5">
        <v>0</v>
      </c>
      <c r="DA81" s="5">
        <v>-2</v>
      </c>
      <c r="DC81" s="12">
        <f t="shared" ref="DC81:DC88" si="10">IF(CU81=0,(4*CU81+CV81-2*CW81-3*CX81+5*CY81-2*CZ81-DA81),(4*CU81+CV81-2*CW81-3*CX81+5*CY81-2*CZ81-DA81)/CU81)</f>
        <v>3</v>
      </c>
      <c r="DD81" s="12">
        <f t="shared" si="9"/>
        <v>12</v>
      </c>
      <c r="DF81" s="8">
        <f t="shared" si="7"/>
        <v>0</v>
      </c>
      <c r="DG81" s="8">
        <f t="shared" si="7"/>
        <v>0</v>
      </c>
      <c r="DH81" s="8">
        <f t="shared" si="7"/>
        <v>0</v>
      </c>
      <c r="DI81" s="8">
        <f t="shared" si="6"/>
        <v>0</v>
      </c>
      <c r="DJ81" s="8">
        <f t="shared" si="6"/>
        <v>0</v>
      </c>
      <c r="DK81" s="8">
        <f t="shared" si="6"/>
        <v>0</v>
      </c>
      <c r="DL81" s="8">
        <f t="shared" si="6"/>
        <v>0</v>
      </c>
      <c r="DO81" s="1" t="s">
        <v>132</v>
      </c>
      <c r="DP81" s="1" t="s">
        <v>425</v>
      </c>
      <c r="DR81" s="1" t="s">
        <v>265</v>
      </c>
    </row>
    <row r="82" spans="1:122" ht="18" x14ac:dyDescent="0.35">
      <c r="A82" t="s">
        <v>426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-1</v>
      </c>
      <c r="AG82">
        <v>0</v>
      </c>
      <c r="AH82">
        <v>0</v>
      </c>
      <c r="AI82">
        <v>1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1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-1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-0.27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-3</v>
      </c>
      <c r="CJ82">
        <v>0</v>
      </c>
      <c r="CK82">
        <v>-10</v>
      </c>
      <c r="CL82">
        <v>0</v>
      </c>
      <c r="CM82">
        <v>-1</v>
      </c>
      <c r="CN82">
        <v>0</v>
      </c>
      <c r="CO82"/>
      <c r="CP82" s="1">
        <v>78</v>
      </c>
      <c r="CQ82" t="s">
        <v>249</v>
      </c>
      <c r="CT82" s="17" t="s">
        <v>427</v>
      </c>
      <c r="CU82" s="5">
        <v>5</v>
      </c>
      <c r="CV82" s="5">
        <v>10</v>
      </c>
      <c r="CW82" s="5">
        <v>5</v>
      </c>
      <c r="CX82" s="5">
        <v>0</v>
      </c>
      <c r="CY82" s="5">
        <v>0</v>
      </c>
      <c r="CZ82" s="5">
        <v>0</v>
      </c>
      <c r="DA82" s="5">
        <v>0</v>
      </c>
      <c r="DC82" s="12">
        <f t="shared" si="10"/>
        <v>4</v>
      </c>
      <c r="DD82" s="12">
        <f t="shared" si="9"/>
        <v>20</v>
      </c>
      <c r="DF82" s="8">
        <f t="shared" si="7"/>
        <v>0</v>
      </c>
      <c r="DG82" s="8">
        <f t="shared" si="7"/>
        <v>0</v>
      </c>
      <c r="DH82" s="8">
        <f t="shared" si="7"/>
        <v>0</v>
      </c>
      <c r="DI82" s="8">
        <f t="shared" si="6"/>
        <v>0</v>
      </c>
      <c r="DJ82" s="8">
        <f t="shared" si="6"/>
        <v>0</v>
      </c>
      <c r="DK82" s="8">
        <f t="shared" si="6"/>
        <v>0</v>
      </c>
      <c r="DL82" s="8">
        <f t="shared" si="6"/>
        <v>0</v>
      </c>
      <c r="DO82" s="1" t="s">
        <v>133</v>
      </c>
      <c r="DP82" s="1" t="s">
        <v>428</v>
      </c>
      <c r="DR82" s="1" t="s">
        <v>265</v>
      </c>
    </row>
    <row r="83" spans="1:122" ht="16.5" x14ac:dyDescent="0.35">
      <c r="A83" t="s">
        <v>429</v>
      </c>
      <c r="B83">
        <v>0</v>
      </c>
      <c r="C83">
        <v>0</v>
      </c>
      <c r="D83">
        <v>0</v>
      </c>
      <c r="E83">
        <v>0</v>
      </c>
      <c r="F83">
        <v>0</v>
      </c>
      <c r="G83">
        <v>1</v>
      </c>
      <c r="H83">
        <v>0</v>
      </c>
      <c r="I83">
        <v>0</v>
      </c>
      <c r="J83">
        <v>-1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1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2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-1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-1</v>
      </c>
      <c r="BV83">
        <v>0</v>
      </c>
      <c r="BW83">
        <v>0</v>
      </c>
      <c r="BX83">
        <v>0</v>
      </c>
      <c r="BY83">
        <v>-0.26700000000000002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-6</v>
      </c>
      <c r="CJ83">
        <v>0</v>
      </c>
      <c r="CK83">
        <v>-24</v>
      </c>
      <c r="CL83">
        <v>0</v>
      </c>
      <c r="CM83">
        <v>-1</v>
      </c>
      <c r="CN83">
        <v>0</v>
      </c>
      <c r="CO83"/>
      <c r="CP83" s="1">
        <v>79</v>
      </c>
      <c r="CQ83" t="s">
        <v>250</v>
      </c>
      <c r="CT83" s="13" t="s">
        <v>333</v>
      </c>
      <c r="CU83" s="5">
        <v>4</v>
      </c>
      <c r="CV83" s="5">
        <v>4</v>
      </c>
      <c r="CW83" s="5">
        <v>5</v>
      </c>
      <c r="CX83" s="5">
        <v>0</v>
      </c>
      <c r="CY83" s="5">
        <v>0</v>
      </c>
      <c r="CZ83" s="5">
        <v>0</v>
      </c>
      <c r="DA83" s="5">
        <v>-2</v>
      </c>
      <c r="DC83" s="12">
        <f t="shared" si="10"/>
        <v>3</v>
      </c>
      <c r="DD83" s="12">
        <f t="shared" si="9"/>
        <v>12</v>
      </c>
      <c r="DF83" s="8">
        <f t="shared" si="7"/>
        <v>0</v>
      </c>
      <c r="DG83" s="8">
        <f t="shared" si="7"/>
        <v>0</v>
      </c>
      <c r="DH83" s="8">
        <f t="shared" si="7"/>
        <v>0</v>
      </c>
      <c r="DI83" s="8">
        <f t="shared" si="6"/>
        <v>0</v>
      </c>
      <c r="DJ83" s="8">
        <f t="shared" si="6"/>
        <v>0</v>
      </c>
      <c r="DK83" s="8">
        <f t="shared" si="6"/>
        <v>0</v>
      </c>
      <c r="DL83" s="8">
        <f t="shared" si="6"/>
        <v>0</v>
      </c>
      <c r="DO83" s="1" t="s">
        <v>134</v>
      </c>
      <c r="DP83" s="1" t="s">
        <v>430</v>
      </c>
      <c r="DR83" s="1" t="s">
        <v>265</v>
      </c>
    </row>
    <row r="84" spans="1:122" ht="16.5" x14ac:dyDescent="0.35">
      <c r="A84" t="s">
        <v>431</v>
      </c>
      <c r="B84">
        <v>0</v>
      </c>
      <c r="C84">
        <v>0</v>
      </c>
      <c r="D84">
        <v>0</v>
      </c>
      <c r="E84">
        <v>0</v>
      </c>
      <c r="F84">
        <v>0</v>
      </c>
      <c r="G84">
        <v>1</v>
      </c>
      <c r="H84">
        <v>0</v>
      </c>
      <c r="I84">
        <v>0</v>
      </c>
      <c r="J84">
        <v>-1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2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-1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1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-1</v>
      </c>
      <c r="BX84">
        <v>0</v>
      </c>
      <c r="BY84">
        <v>-0.09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-5</v>
      </c>
      <c r="CJ84">
        <v>0</v>
      </c>
      <c r="CK84">
        <v>-20</v>
      </c>
      <c r="CL84">
        <v>0</v>
      </c>
      <c r="CM84">
        <v>-1</v>
      </c>
      <c r="CN84">
        <v>0</v>
      </c>
      <c r="CO84"/>
      <c r="CP84" s="1">
        <v>80</v>
      </c>
      <c r="CQ84" t="s">
        <v>251</v>
      </c>
      <c r="CT84" s="13" t="s">
        <v>277</v>
      </c>
      <c r="CU84" s="5">
        <v>5</v>
      </c>
      <c r="CV84" s="5">
        <v>4</v>
      </c>
      <c r="CW84" s="5">
        <v>5</v>
      </c>
      <c r="CX84" s="5">
        <v>0</v>
      </c>
      <c r="CY84" s="5">
        <v>0</v>
      </c>
      <c r="CZ84" s="5">
        <v>0</v>
      </c>
      <c r="DA84" s="5">
        <v>-2</v>
      </c>
      <c r="DC84" s="12">
        <f t="shared" si="10"/>
        <v>3.2</v>
      </c>
      <c r="DD84" s="12">
        <f t="shared" si="9"/>
        <v>16</v>
      </c>
      <c r="DE84" s="1" t="s">
        <v>432</v>
      </c>
      <c r="DF84" s="8">
        <f t="shared" si="7"/>
        <v>0</v>
      </c>
      <c r="DG84" s="8">
        <f t="shared" si="7"/>
        <v>0</v>
      </c>
      <c r="DH84" s="8">
        <f t="shared" si="7"/>
        <v>0</v>
      </c>
      <c r="DI84" s="8">
        <f t="shared" si="6"/>
        <v>0</v>
      </c>
      <c r="DJ84" s="8">
        <f t="shared" si="6"/>
        <v>0</v>
      </c>
      <c r="DK84" s="8">
        <f t="shared" si="6"/>
        <v>0</v>
      </c>
      <c r="DL84" s="8">
        <f t="shared" si="6"/>
        <v>0</v>
      </c>
      <c r="DO84" s="1" t="s">
        <v>135</v>
      </c>
      <c r="DP84" s="1" t="s">
        <v>433</v>
      </c>
      <c r="DR84" s="1" t="s">
        <v>265</v>
      </c>
    </row>
    <row r="85" spans="1:122" ht="16.5" x14ac:dyDescent="0.35">
      <c r="A85" t="s">
        <v>434</v>
      </c>
      <c r="B85">
        <v>0</v>
      </c>
      <c r="C85">
        <v>0</v>
      </c>
      <c r="D85">
        <v>0</v>
      </c>
      <c r="E85">
        <v>0</v>
      </c>
      <c r="F85">
        <v>0</v>
      </c>
      <c r="G85">
        <v>1</v>
      </c>
      <c r="H85">
        <v>0</v>
      </c>
      <c r="I85">
        <v>0</v>
      </c>
      <c r="J85">
        <v>-1</v>
      </c>
      <c r="K85">
        <v>0</v>
      </c>
      <c r="L85">
        <v>0</v>
      </c>
      <c r="M85">
        <v>0</v>
      </c>
      <c r="N85">
        <v>0</v>
      </c>
      <c r="O85">
        <v>0</v>
      </c>
      <c r="P85">
        <v>1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1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-1</v>
      </c>
      <c r="BE85">
        <v>1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-1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-3</v>
      </c>
      <c r="CJ85">
        <v>0</v>
      </c>
      <c r="CK85">
        <v>-14</v>
      </c>
      <c r="CL85">
        <v>0</v>
      </c>
      <c r="CM85">
        <v>-1</v>
      </c>
      <c r="CN85">
        <v>0</v>
      </c>
      <c r="CO85"/>
      <c r="CP85" s="1">
        <v>81</v>
      </c>
      <c r="CQ85" t="s">
        <v>252</v>
      </c>
      <c r="CT85" s="13" t="s">
        <v>312</v>
      </c>
      <c r="CU85" s="5">
        <v>6</v>
      </c>
      <c r="CV85" s="5">
        <v>12</v>
      </c>
      <c r="CW85" s="5">
        <v>6</v>
      </c>
      <c r="CX85" s="5">
        <v>0</v>
      </c>
      <c r="CY85" s="5">
        <v>0</v>
      </c>
      <c r="CZ85" s="5">
        <v>0</v>
      </c>
      <c r="DA85" s="5">
        <v>0</v>
      </c>
      <c r="DC85" s="12">
        <f t="shared" si="10"/>
        <v>4</v>
      </c>
      <c r="DD85" s="12">
        <f t="shared" si="9"/>
        <v>24</v>
      </c>
      <c r="DF85" s="8">
        <f t="shared" si="7"/>
        <v>0</v>
      </c>
      <c r="DG85" s="8">
        <f t="shared" si="7"/>
        <v>0</v>
      </c>
      <c r="DH85" s="8">
        <f t="shared" si="7"/>
        <v>0</v>
      </c>
      <c r="DI85" s="8">
        <f t="shared" si="6"/>
        <v>0</v>
      </c>
      <c r="DJ85" s="8">
        <f t="shared" si="6"/>
        <v>0</v>
      </c>
      <c r="DK85" s="8">
        <f t="shared" si="6"/>
        <v>0</v>
      </c>
      <c r="DL85" s="8">
        <f t="shared" si="6"/>
        <v>0</v>
      </c>
      <c r="DO85" s="1" t="s">
        <v>136</v>
      </c>
      <c r="DP85" s="1" t="s">
        <v>137</v>
      </c>
      <c r="DR85" s="1" t="s">
        <v>265</v>
      </c>
    </row>
    <row r="86" spans="1:122" ht="16.5" x14ac:dyDescent="0.35">
      <c r="A86" t="s">
        <v>435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2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-2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1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-1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-0.27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-4</v>
      </c>
      <c r="CJ86">
        <v>0</v>
      </c>
      <c r="CK86">
        <v>-14</v>
      </c>
      <c r="CL86">
        <v>0</v>
      </c>
      <c r="CM86">
        <v>-1</v>
      </c>
      <c r="CN86">
        <v>0</v>
      </c>
      <c r="CO86"/>
      <c r="CP86" s="1">
        <v>82</v>
      </c>
      <c r="CQ86" t="s">
        <v>253</v>
      </c>
      <c r="CT86" s="13" t="s">
        <v>312</v>
      </c>
      <c r="CU86" s="5">
        <v>6</v>
      </c>
      <c r="CV86" s="5">
        <v>12</v>
      </c>
      <c r="CW86" s="5">
        <v>6</v>
      </c>
      <c r="CX86" s="5">
        <v>0</v>
      </c>
      <c r="CY86" s="5">
        <v>0</v>
      </c>
      <c r="CZ86" s="5">
        <v>0</v>
      </c>
      <c r="DA86" s="5">
        <v>0</v>
      </c>
      <c r="DC86" s="12">
        <f t="shared" si="10"/>
        <v>4</v>
      </c>
      <c r="DD86" s="12">
        <f t="shared" si="9"/>
        <v>24</v>
      </c>
      <c r="DF86" s="8">
        <f t="shared" si="7"/>
        <v>0</v>
      </c>
      <c r="DG86" s="8">
        <f t="shared" si="7"/>
        <v>0</v>
      </c>
      <c r="DH86" s="8">
        <f t="shared" si="7"/>
        <v>0</v>
      </c>
      <c r="DI86" s="8">
        <f t="shared" si="6"/>
        <v>0</v>
      </c>
      <c r="DJ86" s="8">
        <f t="shared" si="6"/>
        <v>0</v>
      </c>
      <c r="DK86" s="8">
        <f t="shared" si="6"/>
        <v>0</v>
      </c>
      <c r="DL86" s="8">
        <f t="shared" si="6"/>
        <v>0</v>
      </c>
      <c r="DO86" s="1" t="s">
        <v>138</v>
      </c>
      <c r="DP86" s="1" t="s">
        <v>436</v>
      </c>
      <c r="DR86" s="1" t="s">
        <v>265</v>
      </c>
    </row>
    <row r="87" spans="1:122" ht="18" x14ac:dyDescent="0.35">
      <c r="A87" t="s">
        <v>437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2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1</v>
      </c>
      <c r="AW87">
        <v>0</v>
      </c>
      <c r="AX87">
        <v>0</v>
      </c>
      <c r="AY87">
        <v>0</v>
      </c>
      <c r="AZ87">
        <v>0</v>
      </c>
      <c r="BA87">
        <v>-2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-1</v>
      </c>
      <c r="BU87">
        <v>0</v>
      </c>
      <c r="BV87">
        <v>0</v>
      </c>
      <c r="BW87">
        <v>0</v>
      </c>
      <c r="BX87">
        <v>0</v>
      </c>
      <c r="BY87">
        <v>-0.27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-4</v>
      </c>
      <c r="CJ87">
        <v>0</v>
      </c>
      <c r="CK87">
        <v>-10</v>
      </c>
      <c r="CL87">
        <v>0</v>
      </c>
      <c r="CM87">
        <v>-1</v>
      </c>
      <c r="CN87">
        <v>0</v>
      </c>
      <c r="CO87"/>
      <c r="CP87" s="1">
        <v>83</v>
      </c>
      <c r="CQ87" t="s">
        <v>254</v>
      </c>
      <c r="CT87" s="17" t="s">
        <v>438</v>
      </c>
      <c r="CU87" s="5">
        <v>6</v>
      </c>
      <c r="CV87" s="5">
        <v>14</v>
      </c>
      <c r="CW87" s="5">
        <v>6</v>
      </c>
      <c r="CX87" s="5">
        <v>0</v>
      </c>
      <c r="CY87" s="5">
        <v>0</v>
      </c>
      <c r="CZ87" s="5">
        <v>0</v>
      </c>
      <c r="DA87" s="5">
        <v>0</v>
      </c>
      <c r="DC87" s="12">
        <f t="shared" si="10"/>
        <v>4.333333333333333</v>
      </c>
      <c r="DD87" s="12">
        <f t="shared" si="9"/>
        <v>26</v>
      </c>
      <c r="DF87" s="8">
        <f t="shared" si="7"/>
        <v>0</v>
      </c>
      <c r="DG87" s="8">
        <f t="shared" si="7"/>
        <v>0</v>
      </c>
      <c r="DH87" s="8">
        <f t="shared" si="7"/>
        <v>0</v>
      </c>
      <c r="DI87" s="8">
        <f t="shared" si="6"/>
        <v>0</v>
      </c>
      <c r="DJ87" s="8">
        <f t="shared" si="6"/>
        <v>0</v>
      </c>
      <c r="DK87" s="8">
        <f t="shared" si="6"/>
        <v>0</v>
      </c>
      <c r="DL87" s="8">
        <f t="shared" si="6"/>
        <v>0</v>
      </c>
      <c r="DO87" s="1" t="s">
        <v>139</v>
      </c>
      <c r="DP87" s="1" t="s">
        <v>439</v>
      </c>
      <c r="DR87" s="1" t="s">
        <v>265</v>
      </c>
    </row>
    <row r="88" spans="1:122" ht="18" x14ac:dyDescent="0.35">
      <c r="A88" t="s">
        <v>440</v>
      </c>
      <c r="B88">
        <v>0</v>
      </c>
      <c r="C88">
        <v>0</v>
      </c>
      <c r="D88">
        <v>0</v>
      </c>
      <c r="E88">
        <v>0</v>
      </c>
      <c r="F88">
        <v>0</v>
      </c>
      <c r="G88">
        <v>1</v>
      </c>
      <c r="H88">
        <v>0</v>
      </c>
      <c r="I88">
        <v>0</v>
      </c>
      <c r="J88">
        <v>-1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2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-2</v>
      </c>
      <c r="AH88">
        <v>0</v>
      </c>
      <c r="AI88">
        <v>1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1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-1</v>
      </c>
      <c r="BW88">
        <v>0</v>
      </c>
      <c r="BX88">
        <v>0</v>
      </c>
      <c r="BY88">
        <v>-0.26700000000000002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-12</v>
      </c>
      <c r="CJ88">
        <v>0</v>
      </c>
      <c r="CK88">
        <v>-48</v>
      </c>
      <c r="CL88">
        <v>0</v>
      </c>
      <c r="CM88">
        <v>-1</v>
      </c>
      <c r="CN88">
        <v>0</v>
      </c>
      <c r="CO88"/>
      <c r="CP88" s="1">
        <v>84</v>
      </c>
      <c r="CQ88" t="s">
        <v>255</v>
      </c>
      <c r="CT88" s="17" t="s">
        <v>438</v>
      </c>
      <c r="CU88" s="5">
        <v>6</v>
      </c>
      <c r="CV88" s="5">
        <v>14</v>
      </c>
      <c r="CW88" s="5">
        <v>6</v>
      </c>
      <c r="CX88" s="5">
        <v>0</v>
      </c>
      <c r="CY88" s="5">
        <v>0</v>
      </c>
      <c r="CZ88" s="5">
        <v>0</v>
      </c>
      <c r="DA88" s="5">
        <v>0</v>
      </c>
      <c r="DC88" s="12">
        <f t="shared" si="10"/>
        <v>4.333333333333333</v>
      </c>
      <c r="DD88" s="12">
        <f t="shared" si="9"/>
        <v>26</v>
      </c>
      <c r="DF88" s="8">
        <f t="shared" si="7"/>
        <v>0</v>
      </c>
      <c r="DG88" s="8">
        <f t="shared" si="7"/>
        <v>0</v>
      </c>
      <c r="DH88" s="8">
        <f t="shared" si="7"/>
        <v>0</v>
      </c>
      <c r="DI88" s="8">
        <f t="shared" si="6"/>
        <v>0</v>
      </c>
      <c r="DJ88" s="8">
        <f t="shared" si="6"/>
        <v>0</v>
      </c>
      <c r="DK88" s="8">
        <f t="shared" si="6"/>
        <v>0</v>
      </c>
      <c r="DL88" s="8">
        <f t="shared" si="6"/>
        <v>0</v>
      </c>
      <c r="DO88" s="1" t="s">
        <v>140</v>
      </c>
      <c r="DP88" s="1" t="s">
        <v>441</v>
      </c>
      <c r="DR88" s="1" t="s">
        <v>265</v>
      </c>
    </row>
    <row r="89" spans="1:122" ht="15.75" x14ac:dyDescent="0.3">
      <c r="A89" t="s">
        <v>442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1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-1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-0.27</v>
      </c>
      <c r="BZ89">
        <v>0</v>
      </c>
      <c r="CA89">
        <v>0</v>
      </c>
      <c r="CB89">
        <v>0</v>
      </c>
      <c r="CC89">
        <v>0</v>
      </c>
      <c r="CD89">
        <v>-1</v>
      </c>
      <c r="CE89">
        <v>0</v>
      </c>
      <c r="CF89">
        <v>0</v>
      </c>
      <c r="CG89">
        <v>0</v>
      </c>
      <c r="CH89">
        <v>0</v>
      </c>
      <c r="CI89">
        <v>-5</v>
      </c>
      <c r="CJ89">
        <v>0</v>
      </c>
      <c r="CK89">
        <v>-16</v>
      </c>
      <c r="CL89">
        <v>0</v>
      </c>
      <c r="CM89">
        <v>-1</v>
      </c>
      <c r="CN89">
        <v>0</v>
      </c>
      <c r="CO89"/>
      <c r="CP89" s="1">
        <v>85</v>
      </c>
      <c r="CQ89" t="s">
        <v>256</v>
      </c>
      <c r="CT89" s="13" t="s">
        <v>443</v>
      </c>
      <c r="CU89" s="5">
        <v>0</v>
      </c>
      <c r="CV89" s="5">
        <v>0</v>
      </c>
      <c r="CW89" s="5">
        <v>0</v>
      </c>
      <c r="CX89" s="5">
        <v>0</v>
      </c>
      <c r="CY89" s="5">
        <v>0</v>
      </c>
      <c r="CZ89" s="5">
        <v>0</v>
      </c>
      <c r="DA89" s="5">
        <v>0</v>
      </c>
      <c r="DC89" s="12">
        <v>0</v>
      </c>
      <c r="DD89" s="12">
        <v>0</v>
      </c>
      <c r="DF89" s="8">
        <f t="shared" si="7"/>
        <v>0</v>
      </c>
      <c r="DG89" s="8">
        <f t="shared" si="7"/>
        <v>0</v>
      </c>
      <c r="DH89" s="8">
        <f t="shared" si="7"/>
        <v>0</v>
      </c>
      <c r="DI89" s="8">
        <f t="shared" si="6"/>
        <v>0</v>
      </c>
      <c r="DJ89" s="8">
        <f t="shared" si="6"/>
        <v>0</v>
      </c>
      <c r="DK89" s="8">
        <f t="shared" si="6"/>
        <v>0</v>
      </c>
      <c r="DL89" s="8">
        <f t="shared" si="6"/>
        <v>0</v>
      </c>
      <c r="DO89" s="1" t="s">
        <v>141</v>
      </c>
      <c r="DP89" s="1" t="s">
        <v>444</v>
      </c>
      <c r="DR89" s="1" t="s">
        <v>265</v>
      </c>
    </row>
    <row r="90" spans="1:122" ht="15.75" x14ac:dyDescent="0.3">
      <c r="A90" t="s">
        <v>445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1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-1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1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-0.26700000000000002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-1</v>
      </c>
      <c r="CF90">
        <v>0</v>
      </c>
      <c r="CG90">
        <v>0</v>
      </c>
      <c r="CH90">
        <v>0</v>
      </c>
      <c r="CI90">
        <v>-6</v>
      </c>
      <c r="CJ90">
        <v>0</v>
      </c>
      <c r="CK90">
        <v>-24</v>
      </c>
      <c r="CL90">
        <v>0</v>
      </c>
      <c r="CM90">
        <v>-1</v>
      </c>
      <c r="CN90">
        <v>0</v>
      </c>
      <c r="CO90"/>
      <c r="CP90" s="1">
        <v>86</v>
      </c>
      <c r="CQ90" t="s">
        <v>257</v>
      </c>
      <c r="CT90" s="13" t="s">
        <v>443</v>
      </c>
      <c r="CU90" s="5">
        <v>0</v>
      </c>
      <c r="CV90" s="5">
        <v>0</v>
      </c>
      <c r="CW90" s="5">
        <v>0</v>
      </c>
      <c r="CX90" s="5">
        <v>0</v>
      </c>
      <c r="CY90" s="5">
        <v>0</v>
      </c>
      <c r="CZ90" s="5">
        <v>0</v>
      </c>
      <c r="DA90" s="5">
        <v>0</v>
      </c>
      <c r="DC90" s="12">
        <v>0</v>
      </c>
      <c r="DD90" s="12">
        <v>0</v>
      </c>
      <c r="DF90" s="8">
        <f t="shared" si="7"/>
        <v>0</v>
      </c>
      <c r="DG90" s="8">
        <f t="shared" si="7"/>
        <v>0</v>
      </c>
      <c r="DH90" s="8">
        <f t="shared" si="7"/>
        <v>0</v>
      </c>
      <c r="DI90" s="8">
        <f t="shared" si="6"/>
        <v>0</v>
      </c>
      <c r="DJ90" s="8">
        <f t="shared" si="6"/>
        <v>0</v>
      </c>
      <c r="DK90" s="8">
        <f t="shared" si="6"/>
        <v>0</v>
      </c>
      <c r="DL90" s="8">
        <f t="shared" si="6"/>
        <v>0</v>
      </c>
      <c r="DO90" s="1" t="s">
        <v>142</v>
      </c>
      <c r="DP90" s="1" t="s">
        <v>446</v>
      </c>
      <c r="DR90" s="1" t="s">
        <v>265</v>
      </c>
    </row>
    <row r="91" spans="1:122" ht="15.75" x14ac:dyDescent="0.3">
      <c r="A91" t="s">
        <v>447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1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2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-2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-0.27</v>
      </c>
      <c r="BZ91">
        <v>0</v>
      </c>
      <c r="CA91">
        <v>-1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-4</v>
      </c>
      <c r="CJ91">
        <v>0</v>
      </c>
      <c r="CK91">
        <v>-12</v>
      </c>
      <c r="CL91">
        <v>0</v>
      </c>
      <c r="CM91">
        <v>-1</v>
      </c>
      <c r="CN91">
        <v>0</v>
      </c>
      <c r="CO91"/>
      <c r="CP91" s="1">
        <v>87</v>
      </c>
      <c r="CQ91" t="s">
        <v>258</v>
      </c>
      <c r="CT91" s="13" t="s">
        <v>443</v>
      </c>
      <c r="CU91" s="5">
        <v>0</v>
      </c>
      <c r="CV91" s="5">
        <v>0</v>
      </c>
      <c r="CW91" s="5">
        <v>0</v>
      </c>
      <c r="CX91" s="5">
        <v>0</v>
      </c>
      <c r="CY91" s="5">
        <v>0</v>
      </c>
      <c r="CZ91" s="5">
        <v>0</v>
      </c>
      <c r="DA91" s="5">
        <v>0</v>
      </c>
      <c r="DC91" s="12">
        <v>0</v>
      </c>
      <c r="DD91" s="12">
        <v>0</v>
      </c>
      <c r="DF91" s="8">
        <f t="shared" si="7"/>
        <v>0</v>
      </c>
      <c r="DG91" s="8">
        <f t="shared" si="7"/>
        <v>0</v>
      </c>
      <c r="DH91" s="8">
        <f t="shared" si="7"/>
        <v>0</v>
      </c>
      <c r="DI91" s="8">
        <f t="shared" si="6"/>
        <v>0</v>
      </c>
      <c r="DJ91" s="8">
        <f t="shared" si="6"/>
        <v>0</v>
      </c>
      <c r="DK91" s="8">
        <f t="shared" si="6"/>
        <v>0</v>
      </c>
      <c r="DL91" s="8">
        <f t="shared" si="6"/>
        <v>0</v>
      </c>
      <c r="DO91" s="1" t="s">
        <v>143</v>
      </c>
      <c r="DP91" s="1" t="s">
        <v>448</v>
      </c>
      <c r="DR91" s="1" t="s">
        <v>265</v>
      </c>
    </row>
    <row r="92" spans="1:122" ht="15.75" x14ac:dyDescent="0.3">
      <c r="A92" t="s">
        <v>449</v>
      </c>
      <c r="B92">
        <v>0</v>
      </c>
      <c r="C92">
        <v>0</v>
      </c>
      <c r="D92">
        <v>0</v>
      </c>
      <c r="E92">
        <v>0</v>
      </c>
      <c r="F92">
        <v>0</v>
      </c>
      <c r="G92">
        <v>2</v>
      </c>
      <c r="H92">
        <v>0</v>
      </c>
      <c r="I92">
        <v>0</v>
      </c>
      <c r="J92">
        <v>-2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-1</v>
      </c>
      <c r="AH92">
        <v>0</v>
      </c>
      <c r="AI92">
        <v>2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1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1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-30</v>
      </c>
      <c r="BZ92">
        <v>0</v>
      </c>
      <c r="CA92">
        <v>0</v>
      </c>
      <c r="CB92">
        <v>-1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-5</v>
      </c>
      <c r="CJ92">
        <v>0</v>
      </c>
      <c r="CK92">
        <v>-20</v>
      </c>
      <c r="CL92">
        <v>0</v>
      </c>
      <c r="CM92">
        <v>-1</v>
      </c>
      <c r="CN92">
        <v>0</v>
      </c>
      <c r="CO92"/>
      <c r="CP92" s="1">
        <v>88</v>
      </c>
      <c r="CQ92" t="s">
        <v>259</v>
      </c>
      <c r="CT92" s="13" t="s">
        <v>443</v>
      </c>
      <c r="CU92" s="5">
        <v>0</v>
      </c>
      <c r="CV92" s="5">
        <v>0</v>
      </c>
      <c r="CW92" s="5">
        <v>0</v>
      </c>
      <c r="CX92" s="5">
        <v>0</v>
      </c>
      <c r="CY92" s="5">
        <v>0</v>
      </c>
      <c r="CZ92" s="5">
        <v>0</v>
      </c>
      <c r="DA92" s="5">
        <v>0</v>
      </c>
      <c r="DC92" s="12">
        <v>0</v>
      </c>
      <c r="DD92" s="12">
        <v>0</v>
      </c>
      <c r="DF92" s="8">
        <f t="shared" si="7"/>
        <v>0</v>
      </c>
      <c r="DG92" s="8">
        <f t="shared" si="7"/>
        <v>0</v>
      </c>
      <c r="DH92" s="8">
        <f t="shared" si="7"/>
        <v>0</v>
      </c>
      <c r="DI92" s="8">
        <f t="shared" si="6"/>
        <v>0</v>
      </c>
      <c r="DJ92" s="8">
        <f t="shared" si="6"/>
        <v>0</v>
      </c>
      <c r="DK92" s="8">
        <f t="shared" si="6"/>
        <v>0</v>
      </c>
      <c r="DL92" s="8">
        <f t="shared" si="6"/>
        <v>0</v>
      </c>
      <c r="DO92" s="1" t="s">
        <v>144</v>
      </c>
      <c r="DP92" s="1" t="s">
        <v>450</v>
      </c>
      <c r="DR92" s="1" t="s">
        <v>265</v>
      </c>
    </row>
    <row r="93" spans="1:122" ht="15.75" x14ac:dyDescent="0.3">
      <c r="A93" t="s">
        <v>451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2</v>
      </c>
      <c r="AJ93">
        <v>0</v>
      </c>
      <c r="AK93">
        <v>0</v>
      </c>
      <c r="AL93">
        <v>0</v>
      </c>
      <c r="AM93">
        <v>1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-2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-0.27</v>
      </c>
      <c r="BZ93">
        <v>0</v>
      </c>
      <c r="CA93">
        <v>0</v>
      </c>
      <c r="CB93">
        <v>0</v>
      </c>
      <c r="CC93">
        <v>-1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-4</v>
      </c>
      <c r="CJ93">
        <v>0</v>
      </c>
      <c r="CK93">
        <v>-12</v>
      </c>
      <c r="CL93">
        <v>0</v>
      </c>
      <c r="CM93">
        <v>-1</v>
      </c>
      <c r="CN93">
        <v>0</v>
      </c>
      <c r="CO93"/>
      <c r="CP93" s="1">
        <v>89</v>
      </c>
      <c r="CQ93" t="s">
        <v>260</v>
      </c>
      <c r="CT93" s="13" t="s">
        <v>443</v>
      </c>
      <c r="CU93" s="5">
        <v>0</v>
      </c>
      <c r="CV93" s="5">
        <v>0</v>
      </c>
      <c r="CW93" s="5">
        <v>0</v>
      </c>
      <c r="CX93" s="5">
        <v>0</v>
      </c>
      <c r="CY93" s="5">
        <v>0</v>
      </c>
      <c r="CZ93" s="5">
        <v>0</v>
      </c>
      <c r="DA93" s="5">
        <v>0</v>
      </c>
      <c r="DC93" s="12">
        <v>0</v>
      </c>
      <c r="DD93" s="12">
        <v>0</v>
      </c>
      <c r="DF93" s="8">
        <f t="shared" ref="DF93:DL99" si="11">MMULT($C93:$CH93,CU$5:CU$88)</f>
        <v>0</v>
      </c>
      <c r="DG93" s="8">
        <f t="shared" si="11"/>
        <v>0</v>
      </c>
      <c r="DH93" s="8">
        <f t="shared" si="11"/>
        <v>0</v>
      </c>
      <c r="DI93" s="8">
        <f t="shared" si="11"/>
        <v>0</v>
      </c>
      <c r="DJ93" s="8">
        <f t="shared" si="11"/>
        <v>0</v>
      </c>
      <c r="DK93" s="8">
        <f t="shared" si="11"/>
        <v>0</v>
      </c>
      <c r="DL93" s="8">
        <f t="shared" si="11"/>
        <v>0</v>
      </c>
      <c r="DO93" s="1" t="s">
        <v>145</v>
      </c>
      <c r="DP93" s="1" t="s">
        <v>452</v>
      </c>
      <c r="DR93" s="1" t="s">
        <v>265</v>
      </c>
    </row>
    <row r="94" spans="1:122" ht="15.75" x14ac:dyDescent="0.3">
      <c r="A94" t="s">
        <v>453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1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1</v>
      </c>
      <c r="AJ94">
        <v>0</v>
      </c>
      <c r="AK94">
        <v>0</v>
      </c>
      <c r="AL94">
        <v>0</v>
      </c>
      <c r="AM94">
        <v>0</v>
      </c>
      <c r="AN94">
        <v>-1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-1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1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-0.26700000000000002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-1</v>
      </c>
      <c r="CH94">
        <v>0</v>
      </c>
      <c r="CI94">
        <v>-6</v>
      </c>
      <c r="CJ94">
        <v>0</v>
      </c>
      <c r="CK94">
        <v>-26</v>
      </c>
      <c r="CL94">
        <v>0</v>
      </c>
      <c r="CM94">
        <v>-1</v>
      </c>
      <c r="CN94">
        <v>0</v>
      </c>
      <c r="CO94"/>
      <c r="CP94" s="1">
        <v>90</v>
      </c>
      <c r="CQ94" t="s">
        <v>261</v>
      </c>
      <c r="CT94" s="13" t="s">
        <v>443</v>
      </c>
      <c r="CU94" s="5">
        <v>0</v>
      </c>
      <c r="CV94" s="5">
        <v>0</v>
      </c>
      <c r="CW94" s="5">
        <v>0</v>
      </c>
      <c r="CX94" s="5">
        <v>0</v>
      </c>
      <c r="CY94" s="5">
        <v>0</v>
      </c>
      <c r="CZ94" s="5">
        <v>0</v>
      </c>
      <c r="DA94" s="5">
        <v>0</v>
      </c>
      <c r="DC94" s="12">
        <v>0</v>
      </c>
      <c r="DD94" s="12">
        <v>0</v>
      </c>
      <c r="DF94" s="8">
        <f t="shared" si="11"/>
        <v>0</v>
      </c>
      <c r="DG94" s="8">
        <f t="shared" si="11"/>
        <v>0</v>
      </c>
      <c r="DH94" s="8">
        <f t="shared" si="11"/>
        <v>0</v>
      </c>
      <c r="DI94" s="8">
        <f t="shared" si="11"/>
        <v>0</v>
      </c>
      <c r="DJ94" s="8">
        <f t="shared" si="11"/>
        <v>0</v>
      </c>
      <c r="DK94" s="8">
        <f t="shared" si="11"/>
        <v>0</v>
      </c>
      <c r="DL94" s="8">
        <f t="shared" si="11"/>
        <v>0</v>
      </c>
      <c r="DO94" s="1" t="s">
        <v>146</v>
      </c>
      <c r="DP94" s="1" t="s">
        <v>454</v>
      </c>
      <c r="DR94" s="1" t="s">
        <v>265</v>
      </c>
    </row>
    <row r="95" spans="1:122" x14ac:dyDescent="0.25">
      <c r="A95" t="s">
        <v>455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1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1</v>
      </c>
      <c r="AJ95">
        <v>0</v>
      </c>
      <c r="AK95">
        <v>0</v>
      </c>
      <c r="AL95">
        <v>0</v>
      </c>
      <c r="AM95">
        <v>0</v>
      </c>
      <c r="AN95">
        <v>-1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-1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1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-0.26700000000000002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-1</v>
      </c>
      <c r="CI95">
        <v>-6</v>
      </c>
      <c r="CJ95">
        <v>0</v>
      </c>
      <c r="CK95">
        <v>-26</v>
      </c>
      <c r="CL95">
        <v>0</v>
      </c>
      <c r="CM95">
        <v>-1</v>
      </c>
      <c r="CN95">
        <v>0</v>
      </c>
      <c r="CO95"/>
      <c r="CU95" s="11" t="s">
        <v>456</v>
      </c>
      <c r="CV95" s="5"/>
      <c r="CW95" s="5"/>
      <c r="CX95" s="5"/>
      <c r="CY95" s="5"/>
      <c r="CZ95" s="5"/>
      <c r="DC95" s="12"/>
      <c r="DD95" s="12"/>
      <c r="DF95" s="8">
        <f t="shared" si="11"/>
        <v>0</v>
      </c>
      <c r="DG95" s="8">
        <f t="shared" si="11"/>
        <v>0</v>
      </c>
      <c r="DH95" s="8">
        <f t="shared" si="11"/>
        <v>0</v>
      </c>
      <c r="DI95" s="8">
        <f t="shared" si="11"/>
        <v>0</v>
      </c>
      <c r="DJ95" s="8">
        <f t="shared" si="11"/>
        <v>0</v>
      </c>
      <c r="DK95" s="8">
        <f t="shared" si="11"/>
        <v>0</v>
      </c>
      <c r="DL95" s="8">
        <f t="shared" si="11"/>
        <v>0</v>
      </c>
      <c r="DO95" s="1" t="s">
        <v>147</v>
      </c>
      <c r="DP95" s="1" t="s">
        <v>457</v>
      </c>
      <c r="DR95" s="1" t="s">
        <v>265</v>
      </c>
    </row>
    <row r="96" spans="1:122" ht="16.5" x14ac:dyDescent="0.35">
      <c r="A96" t="s">
        <v>458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1</v>
      </c>
      <c r="BZ96">
        <v>-1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/>
      <c r="CT96" s="13"/>
      <c r="CU96" s="13" t="s">
        <v>283</v>
      </c>
      <c r="CV96" s="5"/>
      <c r="CW96" s="5"/>
      <c r="CX96" s="5"/>
      <c r="CY96" s="5"/>
      <c r="CZ96" s="5"/>
      <c r="DC96" s="12"/>
      <c r="DD96" s="12"/>
      <c r="DF96" s="8">
        <f t="shared" si="11"/>
        <v>0</v>
      </c>
      <c r="DG96" s="8">
        <f t="shared" si="11"/>
        <v>0</v>
      </c>
      <c r="DH96" s="8">
        <f t="shared" si="11"/>
        <v>0</v>
      </c>
      <c r="DI96" s="8">
        <f t="shared" si="11"/>
        <v>0</v>
      </c>
      <c r="DJ96" s="8">
        <f t="shared" si="11"/>
        <v>0</v>
      </c>
      <c r="DK96" s="8">
        <f t="shared" si="11"/>
        <v>0</v>
      </c>
      <c r="DL96" s="8">
        <f t="shared" si="11"/>
        <v>0</v>
      </c>
      <c r="DO96" s="1" t="s">
        <v>148</v>
      </c>
      <c r="DP96" s="1" t="s">
        <v>149</v>
      </c>
      <c r="DR96" s="1" t="s">
        <v>265</v>
      </c>
    </row>
    <row r="97" spans="1:122" ht="15.75" x14ac:dyDescent="0.3">
      <c r="A97" t="s">
        <v>459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1</v>
      </c>
      <c r="CL97">
        <v>-1</v>
      </c>
      <c r="CM97">
        <v>0</v>
      </c>
      <c r="CN97">
        <v>0</v>
      </c>
      <c r="CO97"/>
      <c r="CT97" s="13"/>
      <c r="CU97" s="5" t="s">
        <v>159</v>
      </c>
      <c r="CV97" s="5" t="s">
        <v>160</v>
      </c>
      <c r="CW97" s="5" t="s">
        <v>161</v>
      </c>
      <c r="CX97" s="5" t="s">
        <v>162</v>
      </c>
      <c r="CY97" s="5" t="s">
        <v>163</v>
      </c>
      <c r="CZ97" s="5" t="s">
        <v>164</v>
      </c>
      <c r="DC97" s="12"/>
      <c r="DD97" s="12"/>
      <c r="DF97" s="8">
        <f t="shared" si="11"/>
        <v>0</v>
      </c>
      <c r="DG97" s="8">
        <f t="shared" si="11"/>
        <v>0</v>
      </c>
      <c r="DH97" s="8">
        <f t="shared" si="11"/>
        <v>0</v>
      </c>
      <c r="DI97" s="8">
        <f t="shared" si="11"/>
        <v>0</v>
      </c>
      <c r="DJ97" s="8">
        <f t="shared" si="11"/>
        <v>0</v>
      </c>
      <c r="DK97" s="8">
        <f t="shared" si="11"/>
        <v>0</v>
      </c>
      <c r="DL97" s="8">
        <f t="shared" si="11"/>
        <v>0</v>
      </c>
      <c r="DO97" s="1" t="s">
        <v>150</v>
      </c>
      <c r="DP97" s="1" t="s">
        <v>151</v>
      </c>
      <c r="DR97" s="1" t="s">
        <v>265</v>
      </c>
    </row>
    <row r="98" spans="1:122" ht="15.75" x14ac:dyDescent="0.3">
      <c r="A98" t="s">
        <v>460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1</v>
      </c>
      <c r="CJ98">
        <v>-1</v>
      </c>
      <c r="CK98">
        <v>0</v>
      </c>
      <c r="CL98">
        <v>0</v>
      </c>
      <c r="CM98">
        <v>0</v>
      </c>
      <c r="CN98">
        <v>0</v>
      </c>
      <c r="CO98"/>
      <c r="CT98" s="13"/>
      <c r="CU98" s="13">
        <v>36.159999999999997</v>
      </c>
      <c r="CV98" s="12">
        <v>70.75</v>
      </c>
      <c r="CW98" s="12">
        <v>18.70848708487085</v>
      </c>
      <c r="CX98" s="12">
        <v>9.9630996309963109</v>
      </c>
      <c r="CY98" s="12">
        <v>1.2177121771217712</v>
      </c>
      <c r="CZ98" s="12">
        <v>0.51660516605166051</v>
      </c>
      <c r="DA98" s="12" t="s">
        <v>432</v>
      </c>
      <c r="DC98" s="12"/>
      <c r="DD98" s="12"/>
      <c r="DF98" s="8">
        <f t="shared" si="11"/>
        <v>0</v>
      </c>
      <c r="DG98" s="8">
        <f t="shared" si="11"/>
        <v>0</v>
      </c>
      <c r="DH98" s="8">
        <f t="shared" si="11"/>
        <v>0</v>
      </c>
      <c r="DI98" s="8">
        <f t="shared" si="11"/>
        <v>0</v>
      </c>
      <c r="DJ98" s="8">
        <f t="shared" si="11"/>
        <v>0</v>
      </c>
      <c r="DK98" s="8">
        <f t="shared" si="11"/>
        <v>0</v>
      </c>
      <c r="DL98" s="8">
        <f t="shared" si="11"/>
        <v>0</v>
      </c>
      <c r="DO98" s="1" t="s">
        <v>152</v>
      </c>
      <c r="DP98" s="1" t="s">
        <v>153</v>
      </c>
      <c r="DR98" s="1" t="s">
        <v>265</v>
      </c>
    </row>
    <row r="99" spans="1:122" ht="15.75" x14ac:dyDescent="0.3">
      <c r="A99" t="s">
        <v>461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1</v>
      </c>
      <c r="CN99">
        <v>-1</v>
      </c>
      <c r="CO99"/>
      <c r="CT99" s="13"/>
      <c r="CU99" s="5">
        <v>1</v>
      </c>
      <c r="CV99" s="5">
        <f>CV98/36.16</f>
        <v>1.9565818584070798</v>
      </c>
      <c r="CW99" s="5">
        <f>CW98/36.16</f>
        <v>0.51738072690461423</v>
      </c>
      <c r="CX99" s="5">
        <f>CX98/36.16</f>
        <v>0.27552819775985377</v>
      </c>
      <c r="CY99" s="5">
        <f>CY98/36.16</f>
        <v>3.3675668615093232E-2</v>
      </c>
      <c r="CZ99" s="5">
        <f>CZ98/36.16</f>
        <v>1.4286647291251675E-2</v>
      </c>
      <c r="DC99" s="12"/>
      <c r="DD99" s="12"/>
      <c r="DF99" s="8">
        <f t="shared" si="11"/>
        <v>0</v>
      </c>
      <c r="DG99" s="8">
        <f t="shared" si="11"/>
        <v>0</v>
      </c>
      <c r="DH99" s="8">
        <f t="shared" si="11"/>
        <v>0</v>
      </c>
      <c r="DI99" s="8">
        <f t="shared" si="11"/>
        <v>0</v>
      </c>
      <c r="DJ99" s="8">
        <f t="shared" si="11"/>
        <v>0</v>
      </c>
      <c r="DK99" s="8">
        <f t="shared" si="11"/>
        <v>0</v>
      </c>
      <c r="DL99" s="8">
        <f t="shared" si="11"/>
        <v>0</v>
      </c>
      <c r="DO99" s="1" t="s">
        <v>154</v>
      </c>
      <c r="DP99" s="1" t="s">
        <v>155</v>
      </c>
      <c r="DR99" s="1" t="s">
        <v>265</v>
      </c>
    </row>
    <row r="100" spans="1:122" ht="15.75" x14ac:dyDescent="0.3">
      <c r="CT100" s="13" t="s">
        <v>462</v>
      </c>
      <c r="CU100" s="5">
        <f>CU99*12</f>
        <v>12</v>
      </c>
      <c r="CV100" s="5">
        <f>CV99*1</f>
        <v>1.9565818584070798</v>
      </c>
      <c r="CW100" s="5">
        <f>CW99*16</f>
        <v>8.2780916304738277</v>
      </c>
      <c r="CX100" s="5">
        <f>CX99*14</f>
        <v>3.8573947686379526</v>
      </c>
      <c r="CY100" s="5">
        <f>CY99*31</f>
        <v>1.0439457270678902</v>
      </c>
      <c r="CZ100" s="5">
        <f>CZ99*32</f>
        <v>0.4571727133200536</v>
      </c>
      <c r="DA100" s="5">
        <f>SUM(CU100:CZ100)</f>
        <v>27.593186697906802</v>
      </c>
      <c r="DB100" s="5" t="s">
        <v>463</v>
      </c>
      <c r="DC100" s="12"/>
      <c r="DD100" s="12"/>
      <c r="DF100" s="8"/>
      <c r="DG100" s="8"/>
      <c r="DH100" s="8"/>
      <c r="DI100" s="8"/>
      <c r="DJ100" s="8"/>
      <c r="DK100" s="8"/>
      <c r="DL100" s="8"/>
    </row>
    <row r="101" spans="1:122" x14ac:dyDescent="0.25">
      <c r="CT101" s="16"/>
      <c r="CU101" s="5"/>
      <c r="CV101" s="5"/>
      <c r="CW101" s="5"/>
      <c r="CX101" s="5"/>
      <c r="CY101" s="5"/>
      <c r="CZ101" s="5"/>
      <c r="DC101" s="12"/>
      <c r="DD101" s="12"/>
      <c r="DF101" s="8"/>
      <c r="DG101" s="8"/>
      <c r="DH101" s="8"/>
      <c r="DI101" s="8"/>
      <c r="DJ101" s="8"/>
      <c r="DK101" s="8"/>
      <c r="DL101" s="8"/>
    </row>
    <row r="102" spans="1:122" ht="15.75" x14ac:dyDescent="0.3">
      <c r="CT102" s="13"/>
      <c r="CU102" s="5"/>
      <c r="CV102" s="5"/>
      <c r="CW102" s="5"/>
      <c r="CX102" s="5"/>
      <c r="CY102" s="5"/>
      <c r="CZ102" s="5"/>
      <c r="DC102" s="12"/>
      <c r="DD102" s="12"/>
      <c r="DE102" s="1" t="s">
        <v>464</v>
      </c>
      <c r="DF102" s="8">
        <f>SUM(DF14:DF100)</f>
        <v>1.2361623616210959E-2</v>
      </c>
      <c r="DG102" s="8">
        <f t="shared" ref="DG102:DL102" si="12">SUM(DG14:DG100)</f>
        <v>1.0000000000045972E-2</v>
      </c>
      <c r="DH102" s="8">
        <f t="shared" si="12"/>
        <v>8.4870848708895608E-3</v>
      </c>
      <c r="DI102" s="8">
        <f t="shared" si="12"/>
        <v>2.309963099629897E-2</v>
      </c>
      <c r="DJ102" s="8">
        <f t="shared" si="12"/>
        <v>-2.2878228782183818E-3</v>
      </c>
      <c r="DK102" s="8">
        <f t="shared" si="12"/>
        <v>1.6605166051660514E-2</v>
      </c>
      <c r="DL102" s="8">
        <f t="shared" si="12"/>
        <v>8.8817841970012523E-15</v>
      </c>
    </row>
    <row r="103" spans="1:122" ht="15.75" x14ac:dyDescent="0.3">
      <c r="CT103" s="13"/>
      <c r="CU103" s="5"/>
      <c r="CV103" s="5"/>
      <c r="CW103" s="5"/>
      <c r="CX103" s="5"/>
      <c r="CY103" s="5"/>
      <c r="CZ103" s="5"/>
      <c r="DC103" s="12"/>
      <c r="DD103" s="12"/>
      <c r="DF103" s="8"/>
      <c r="DG103" s="8"/>
      <c r="DH103" s="8"/>
      <c r="DI103" s="8"/>
      <c r="DJ103" s="8"/>
      <c r="DK103" s="8"/>
      <c r="DL103" s="8"/>
    </row>
    <row r="104" spans="1:122" ht="15.75" x14ac:dyDescent="0.3">
      <c r="CT104" s="13"/>
      <c r="CU104" s="5"/>
      <c r="CV104" s="5"/>
      <c r="CW104" s="5"/>
      <c r="CX104" s="5"/>
      <c r="CY104" s="5"/>
      <c r="CZ104" s="5"/>
      <c r="DC104" s="12"/>
      <c r="DD104" s="12"/>
      <c r="DF104" s="8"/>
      <c r="DG104" s="8"/>
      <c r="DH104" s="8"/>
      <c r="DI104" s="8"/>
      <c r="DJ104" s="8"/>
      <c r="DK104" s="8"/>
      <c r="DL104" s="8"/>
    </row>
    <row r="105" spans="1:122" ht="15.75" x14ac:dyDescent="0.3">
      <c r="CT105" s="13"/>
      <c r="CU105" s="5"/>
      <c r="CV105" s="5"/>
      <c r="CW105" s="5"/>
      <c r="CX105" s="5"/>
      <c r="CY105" s="5"/>
      <c r="CZ105" s="5"/>
      <c r="DC105" s="12"/>
      <c r="DD105" s="12"/>
      <c r="DF105" s="8"/>
      <c r="DG105" s="8"/>
      <c r="DH105" s="8"/>
      <c r="DI105" s="8"/>
      <c r="DJ105" s="8"/>
      <c r="DK105" s="8"/>
      <c r="DL105" s="8"/>
    </row>
    <row r="106" spans="1:122" x14ac:dyDescent="0.25">
      <c r="CT106" s="16"/>
      <c r="CU106" s="5"/>
      <c r="CV106" s="5"/>
      <c r="CW106" s="5"/>
      <c r="CX106" s="5"/>
      <c r="CY106" s="5"/>
      <c r="CZ106" s="5"/>
      <c r="DC106" s="12"/>
      <c r="DD106" s="12"/>
      <c r="DF106" s="8"/>
      <c r="DG106" s="8"/>
      <c r="DH106" s="8"/>
      <c r="DI106" s="8"/>
      <c r="DJ106" s="8"/>
      <c r="DK106" s="8"/>
      <c r="DL106" s="8"/>
    </row>
    <row r="107" spans="1:122" ht="15.75" x14ac:dyDescent="0.3">
      <c r="CT107" s="13"/>
      <c r="CU107" s="5"/>
      <c r="CV107" s="5"/>
      <c r="CW107" s="5"/>
      <c r="CX107" s="5"/>
      <c r="CY107" s="5"/>
      <c r="CZ107" s="5"/>
      <c r="DC107" s="12"/>
      <c r="DD107" s="12"/>
      <c r="DF107" s="8"/>
      <c r="DG107" s="8"/>
      <c r="DH107" s="8"/>
      <c r="DI107" s="8"/>
      <c r="DJ107" s="8"/>
      <c r="DK107" s="8"/>
      <c r="DL107" s="8"/>
    </row>
    <row r="108" spans="1:122" ht="15.75" x14ac:dyDescent="0.3">
      <c r="CT108" s="13"/>
      <c r="CU108" s="5"/>
      <c r="CV108" s="5"/>
      <c r="CW108" s="5"/>
      <c r="CX108" s="5"/>
      <c r="CY108" s="5"/>
      <c r="CZ108" s="5"/>
      <c r="DC108" s="12"/>
      <c r="DD108" s="12"/>
      <c r="DF108" s="8"/>
      <c r="DG108" s="8"/>
      <c r="DH108" s="8"/>
      <c r="DI108" s="8"/>
      <c r="DJ108" s="8"/>
      <c r="DK108" s="8"/>
      <c r="DL108" s="8"/>
    </row>
    <row r="109" spans="1:122" ht="15.75" x14ac:dyDescent="0.3">
      <c r="CT109" s="13"/>
      <c r="CU109" s="5"/>
      <c r="CV109" s="5"/>
      <c r="CW109" s="5"/>
      <c r="CX109" s="5"/>
      <c r="CY109" s="5"/>
      <c r="CZ109" s="5"/>
      <c r="DC109" s="12"/>
      <c r="DD109" s="12"/>
      <c r="DF109" s="8"/>
      <c r="DG109" s="8"/>
      <c r="DH109" s="8"/>
      <c r="DI109" s="8"/>
      <c r="DJ109" s="8"/>
      <c r="DK109" s="8"/>
      <c r="DL109" s="8"/>
    </row>
    <row r="110" spans="1:122" ht="15.75" x14ac:dyDescent="0.3">
      <c r="CT110" s="13"/>
      <c r="CU110" s="5"/>
      <c r="CV110" s="5"/>
      <c r="CW110" s="5"/>
      <c r="CX110" s="5"/>
      <c r="CY110" s="5"/>
      <c r="CZ110" s="5"/>
      <c r="DC110" s="12"/>
      <c r="DD110" s="12"/>
      <c r="DF110" s="8"/>
      <c r="DG110" s="8"/>
      <c r="DH110" s="8"/>
      <c r="DI110" s="8"/>
      <c r="DJ110" s="8"/>
      <c r="DK110" s="8"/>
      <c r="DL110" s="8"/>
    </row>
    <row r="111" spans="1:122" ht="15.75" x14ac:dyDescent="0.3">
      <c r="CT111" s="13"/>
      <c r="CU111" s="5"/>
      <c r="CV111" s="5"/>
      <c r="CW111" s="5"/>
      <c r="CX111" s="5"/>
      <c r="CY111" s="5"/>
      <c r="CZ111" s="5"/>
      <c r="DC111" s="12"/>
      <c r="DD111" s="12"/>
      <c r="DF111" s="8"/>
      <c r="DG111" s="8"/>
      <c r="DH111" s="8"/>
      <c r="DI111" s="8"/>
      <c r="DJ111" s="8"/>
      <c r="DK111" s="8"/>
      <c r="DL111" s="8"/>
    </row>
    <row r="112" spans="1:122" ht="15.75" x14ac:dyDescent="0.3">
      <c r="CT112" s="13"/>
      <c r="CU112" s="5"/>
      <c r="CV112" s="5"/>
      <c r="CW112" s="5"/>
      <c r="CX112" s="5"/>
      <c r="CY112" s="5"/>
      <c r="CZ112" s="5"/>
      <c r="DC112" s="12"/>
      <c r="DD112" s="12"/>
      <c r="DF112" s="8"/>
      <c r="DG112" s="8"/>
      <c r="DH112" s="8"/>
      <c r="DI112" s="8"/>
      <c r="DJ112" s="8"/>
      <c r="DK112" s="8"/>
      <c r="DL112" s="8"/>
    </row>
    <row r="113" spans="98:116" ht="15.75" x14ac:dyDescent="0.3">
      <c r="CT113" s="13"/>
      <c r="CU113" s="5"/>
      <c r="CV113" s="5"/>
      <c r="CW113" s="5"/>
      <c r="CX113" s="5"/>
      <c r="CY113" s="5"/>
      <c r="CZ113" s="5"/>
      <c r="DC113" s="12"/>
      <c r="DD113" s="12"/>
      <c r="DF113" s="8"/>
      <c r="DG113" s="8"/>
      <c r="DH113" s="8"/>
      <c r="DI113" s="8"/>
      <c r="DJ113" s="8"/>
      <c r="DK113" s="8"/>
      <c r="DL113" s="8"/>
    </row>
    <row r="114" spans="98:116" ht="15.75" x14ac:dyDescent="0.3">
      <c r="CT114" s="13"/>
      <c r="CU114" s="5"/>
      <c r="CV114" s="5"/>
      <c r="CW114" s="5"/>
      <c r="CX114" s="5"/>
      <c r="CY114" s="5"/>
      <c r="CZ114" s="5"/>
      <c r="DC114" s="12"/>
      <c r="DD114" s="12"/>
      <c r="DF114" s="8"/>
      <c r="DG114" s="8"/>
      <c r="DH114" s="8"/>
      <c r="DI114" s="8"/>
      <c r="DJ114" s="8"/>
      <c r="DK114" s="8"/>
      <c r="DL114" s="8"/>
    </row>
    <row r="115" spans="98:116" ht="15.75" x14ac:dyDescent="0.3">
      <c r="CT115" s="13"/>
      <c r="CU115" s="5"/>
      <c r="CV115" s="5"/>
      <c r="CW115" s="5"/>
      <c r="CX115" s="5"/>
      <c r="CY115" s="5"/>
      <c r="CZ115" s="5"/>
      <c r="DC115" s="12"/>
      <c r="DD115" s="12"/>
      <c r="DF115" s="8"/>
      <c r="DG115" s="8"/>
      <c r="DH115" s="8"/>
      <c r="DI115" s="8"/>
      <c r="DJ115" s="8"/>
      <c r="DK115" s="8"/>
      <c r="DL115" s="8"/>
    </row>
    <row r="116" spans="98:116" x14ac:dyDescent="0.25">
      <c r="CT116" s="16"/>
      <c r="CU116" s="5"/>
      <c r="CV116" s="5"/>
      <c r="CW116" s="5"/>
      <c r="CX116" s="5"/>
      <c r="CY116" s="5"/>
      <c r="CZ116" s="5"/>
      <c r="DC116" s="12"/>
      <c r="DD116" s="12"/>
      <c r="DF116" s="8"/>
      <c r="DG116" s="8"/>
      <c r="DH116" s="8"/>
      <c r="DI116" s="8"/>
      <c r="DJ116" s="8"/>
      <c r="DK116" s="8"/>
      <c r="DL116" s="8"/>
    </row>
    <row r="117" spans="98:116" ht="15.75" x14ac:dyDescent="0.3">
      <c r="CT117" s="13"/>
      <c r="CU117" s="5"/>
      <c r="CV117" s="5"/>
      <c r="CW117" s="5"/>
      <c r="CX117" s="5"/>
      <c r="CY117" s="5"/>
      <c r="CZ117" s="5"/>
      <c r="DC117" s="12"/>
      <c r="DD117" s="12"/>
      <c r="DF117" s="8"/>
      <c r="DG117" s="8"/>
      <c r="DH117" s="8"/>
      <c r="DI117" s="8"/>
      <c r="DJ117" s="8"/>
      <c r="DK117" s="8"/>
      <c r="DL117" s="8"/>
    </row>
    <row r="118" spans="98:116" ht="15.75" x14ac:dyDescent="0.3">
      <c r="CT118" s="13"/>
      <c r="CU118" s="5"/>
      <c r="CV118" s="5"/>
      <c r="CW118" s="5"/>
      <c r="CX118" s="5"/>
      <c r="CY118" s="5"/>
      <c r="CZ118" s="5"/>
      <c r="DC118" s="12"/>
      <c r="DD118" s="12"/>
      <c r="DF118" s="8"/>
      <c r="DG118" s="8"/>
      <c r="DH118" s="8"/>
      <c r="DI118" s="8"/>
      <c r="DJ118" s="8"/>
      <c r="DK118" s="8"/>
      <c r="DL118" s="8"/>
    </row>
    <row r="119" spans="98:116" ht="15.75" x14ac:dyDescent="0.3">
      <c r="CT119" s="13"/>
      <c r="CU119" s="5"/>
      <c r="CV119" s="5"/>
      <c r="CW119" s="5"/>
      <c r="CX119" s="5"/>
      <c r="CY119" s="5"/>
      <c r="CZ119" s="5"/>
      <c r="DC119" s="12"/>
      <c r="DD119" s="12"/>
      <c r="DF119" s="8"/>
      <c r="DG119" s="8"/>
      <c r="DH119" s="8"/>
      <c r="DI119" s="8"/>
      <c r="DJ119" s="8"/>
      <c r="DK119" s="8"/>
      <c r="DL119" s="8"/>
    </row>
    <row r="120" spans="98:116" ht="15.75" x14ac:dyDescent="0.3">
      <c r="CT120" s="13"/>
      <c r="CU120" s="5"/>
      <c r="CV120" s="5"/>
      <c r="CW120" s="5"/>
      <c r="CX120" s="5"/>
      <c r="CY120" s="5"/>
      <c r="CZ120" s="5"/>
      <c r="DC120" s="12"/>
      <c r="DD120" s="12"/>
      <c r="DF120" s="8"/>
      <c r="DG120" s="8"/>
      <c r="DH120" s="8"/>
      <c r="DI120" s="8"/>
      <c r="DJ120" s="8"/>
      <c r="DK120" s="8"/>
      <c r="DL120" s="8"/>
    </row>
    <row r="121" spans="98:116" ht="15.75" x14ac:dyDescent="0.3">
      <c r="CT121" s="13"/>
      <c r="CU121" s="5"/>
      <c r="CV121" s="5"/>
      <c r="CW121" s="5"/>
      <c r="CX121" s="5"/>
      <c r="CY121" s="5"/>
      <c r="CZ121" s="5"/>
      <c r="DC121" s="12"/>
      <c r="DD121" s="12"/>
      <c r="DF121" s="8"/>
      <c r="DG121" s="8"/>
      <c r="DH121" s="8"/>
      <c r="DI121" s="8"/>
      <c r="DJ121" s="8"/>
      <c r="DK121" s="8"/>
      <c r="DL121" s="8"/>
    </row>
    <row r="122" spans="98:116" ht="15.75" x14ac:dyDescent="0.3">
      <c r="CT122" s="13"/>
      <c r="CU122" s="5"/>
      <c r="CV122" s="5"/>
      <c r="CW122" s="5"/>
      <c r="CX122" s="5"/>
      <c r="CY122" s="5"/>
      <c r="CZ122" s="5"/>
      <c r="DC122" s="12"/>
      <c r="DD122" s="12"/>
      <c r="DF122" s="8"/>
      <c r="DG122" s="8"/>
      <c r="DH122" s="8"/>
      <c r="DI122" s="8"/>
      <c r="DJ122" s="8"/>
      <c r="DK122" s="8"/>
      <c r="DL122" s="8"/>
    </row>
    <row r="123" spans="98:116" ht="15.75" x14ac:dyDescent="0.3">
      <c r="CT123" s="13"/>
      <c r="CU123" s="5"/>
      <c r="CV123" s="5"/>
      <c r="CW123" s="5"/>
      <c r="CX123" s="5"/>
      <c r="CY123" s="5"/>
      <c r="CZ123" s="5"/>
      <c r="DC123" s="12"/>
      <c r="DD123" s="12"/>
      <c r="DF123" s="8"/>
      <c r="DG123" s="8"/>
      <c r="DH123" s="8"/>
      <c r="DI123" s="8"/>
      <c r="DJ123" s="8"/>
      <c r="DK123" s="8"/>
      <c r="DL123" s="8"/>
    </row>
    <row r="124" spans="98:116" ht="15.75" x14ac:dyDescent="0.3">
      <c r="CT124" s="13"/>
      <c r="CU124" s="13"/>
      <c r="CV124" s="5"/>
      <c r="CW124" s="5"/>
      <c r="CX124" s="5"/>
      <c r="CY124" s="5"/>
      <c r="CZ124" s="5"/>
      <c r="DC124" s="12"/>
      <c r="DD124" s="12"/>
      <c r="DF124" s="8"/>
      <c r="DG124" s="8"/>
      <c r="DH124" s="8"/>
      <c r="DI124" s="8"/>
      <c r="DJ124" s="8"/>
      <c r="DK124" s="8"/>
      <c r="DL124" s="8"/>
    </row>
    <row r="125" spans="98:116" x14ac:dyDescent="0.25">
      <c r="CT125" s="16"/>
      <c r="CU125" s="5"/>
      <c r="CV125" s="5"/>
      <c r="CW125" s="5"/>
      <c r="CX125" s="5"/>
      <c r="CY125" s="5"/>
      <c r="CZ125" s="5"/>
      <c r="DC125" s="12"/>
      <c r="DD125" s="12"/>
      <c r="DF125" s="8"/>
      <c r="DG125" s="8"/>
      <c r="DH125" s="8"/>
      <c r="DI125" s="8"/>
      <c r="DJ125" s="8"/>
      <c r="DK125" s="8"/>
      <c r="DL125" s="8"/>
    </row>
    <row r="126" spans="98:116" x14ac:dyDescent="0.25">
      <c r="CT126" s="16"/>
      <c r="CU126" s="5"/>
      <c r="CV126" s="5"/>
      <c r="CW126" s="5"/>
      <c r="CX126" s="5"/>
      <c r="CY126" s="5"/>
      <c r="CZ126" s="5"/>
      <c r="DC126" s="12"/>
      <c r="DD126" s="12"/>
      <c r="DF126" s="8"/>
      <c r="DG126" s="8"/>
      <c r="DH126" s="8"/>
      <c r="DI126" s="8"/>
      <c r="DJ126" s="8"/>
      <c r="DK126" s="8"/>
      <c r="DL126" s="8"/>
    </row>
    <row r="127" spans="98:116" ht="15.75" x14ac:dyDescent="0.3">
      <c r="CT127" s="13"/>
      <c r="CU127" s="5"/>
      <c r="CV127" s="5"/>
      <c r="CW127" s="5"/>
      <c r="CX127" s="5"/>
      <c r="CY127" s="5"/>
      <c r="CZ127" s="5"/>
      <c r="DC127" s="12"/>
      <c r="DD127" s="12"/>
      <c r="DF127" s="8"/>
      <c r="DG127" s="8"/>
      <c r="DH127" s="8"/>
      <c r="DI127" s="8"/>
      <c r="DJ127" s="8"/>
      <c r="DK127" s="8"/>
      <c r="DL127" s="8"/>
    </row>
    <row r="128" spans="98:116" ht="15.75" x14ac:dyDescent="0.3">
      <c r="CT128" s="13"/>
      <c r="CU128" s="5"/>
      <c r="CV128" s="5"/>
      <c r="CW128" s="5"/>
      <c r="CX128" s="5"/>
      <c r="CY128" s="5"/>
      <c r="CZ128" s="5"/>
      <c r="DC128" s="12"/>
      <c r="DD128" s="12"/>
      <c r="DF128" s="8"/>
      <c r="DG128" s="8"/>
      <c r="DH128" s="8"/>
      <c r="DI128" s="8"/>
      <c r="DJ128" s="8"/>
      <c r="DK128" s="8"/>
      <c r="DL128" s="8"/>
    </row>
    <row r="129" spans="98:116" ht="15.75" x14ac:dyDescent="0.3">
      <c r="CT129" s="13"/>
      <c r="CU129" s="5"/>
      <c r="CV129" s="5"/>
      <c r="CW129" s="5"/>
      <c r="CX129" s="5"/>
      <c r="CY129" s="5"/>
      <c r="CZ129" s="5"/>
      <c r="DC129" s="12"/>
      <c r="DD129" s="12"/>
      <c r="DF129" s="8"/>
      <c r="DG129" s="8"/>
      <c r="DH129" s="8"/>
      <c r="DI129" s="8"/>
      <c r="DJ129" s="8"/>
      <c r="DK129" s="8"/>
      <c r="DL129" s="8"/>
    </row>
    <row r="130" spans="98:116" ht="15.75" x14ac:dyDescent="0.3">
      <c r="CT130" s="13"/>
      <c r="CU130" s="5"/>
      <c r="CV130" s="5"/>
      <c r="CW130" s="5"/>
      <c r="CX130" s="5"/>
      <c r="CY130" s="5"/>
      <c r="CZ130" s="5"/>
      <c r="DC130" s="12"/>
      <c r="DD130" s="12"/>
      <c r="DF130" s="8"/>
      <c r="DG130" s="8"/>
      <c r="DH130" s="8"/>
      <c r="DI130" s="8"/>
      <c r="DJ130" s="8"/>
      <c r="DK130" s="8"/>
      <c r="DL130" s="8"/>
    </row>
    <row r="131" spans="98:116" ht="15.75" x14ac:dyDescent="0.3">
      <c r="CT131" s="13"/>
      <c r="CU131" s="5"/>
      <c r="CV131" s="5"/>
      <c r="CW131" s="5"/>
      <c r="CX131" s="5"/>
      <c r="CY131" s="5"/>
      <c r="CZ131" s="5"/>
      <c r="DC131" s="12"/>
      <c r="DD131" s="12"/>
      <c r="DF131" s="8"/>
      <c r="DG131" s="8"/>
      <c r="DH131" s="8"/>
      <c r="DI131" s="8"/>
      <c r="DJ131" s="8"/>
      <c r="DK131" s="8"/>
      <c r="DL131" s="8"/>
    </row>
    <row r="132" spans="98:116" ht="15.75" x14ac:dyDescent="0.3">
      <c r="CT132" s="13"/>
      <c r="CU132" s="5"/>
      <c r="CV132" s="5"/>
      <c r="CW132" s="5"/>
      <c r="CX132" s="5"/>
      <c r="CY132" s="5"/>
      <c r="CZ132" s="5"/>
      <c r="DC132" s="12"/>
      <c r="DD132" s="12"/>
      <c r="DF132" s="8"/>
      <c r="DG132" s="8"/>
      <c r="DH132" s="8"/>
      <c r="DI132" s="8"/>
      <c r="DJ132" s="8"/>
      <c r="DK132" s="8"/>
      <c r="DL132" s="8"/>
    </row>
    <row r="133" spans="98:116" ht="15.75" x14ac:dyDescent="0.3">
      <c r="CT133" s="13"/>
      <c r="CU133" s="5"/>
      <c r="CV133" s="5"/>
      <c r="CW133" s="5"/>
      <c r="CX133" s="5"/>
      <c r="CY133" s="5"/>
      <c r="CZ133" s="5"/>
      <c r="DC133" s="12"/>
      <c r="DD133" s="12"/>
      <c r="DF133" s="8"/>
      <c r="DG133" s="8"/>
      <c r="DH133" s="8"/>
      <c r="DI133" s="8"/>
      <c r="DJ133" s="8"/>
      <c r="DK133" s="8"/>
      <c r="DL133" s="8"/>
    </row>
    <row r="134" spans="98:116" ht="15.75" x14ac:dyDescent="0.3">
      <c r="CT134" s="13"/>
      <c r="CU134" s="5"/>
      <c r="CV134" s="5"/>
      <c r="CW134" s="5"/>
      <c r="CX134" s="5"/>
      <c r="CY134" s="5"/>
      <c r="CZ134" s="5"/>
      <c r="DC134" s="12"/>
      <c r="DD134" s="12"/>
      <c r="DF134" s="8"/>
      <c r="DG134" s="8"/>
      <c r="DH134" s="8"/>
      <c r="DI134" s="8"/>
      <c r="DJ134" s="8"/>
      <c r="DK134" s="8"/>
      <c r="DL134" s="8"/>
    </row>
    <row r="135" spans="98:116" ht="15.75" x14ac:dyDescent="0.3">
      <c r="CT135" s="13"/>
      <c r="CU135" s="5"/>
      <c r="CV135" s="5"/>
      <c r="CW135" s="5"/>
      <c r="CX135" s="5"/>
      <c r="CY135" s="5"/>
      <c r="CZ135" s="5"/>
      <c r="DC135" s="12"/>
      <c r="DD135" s="12"/>
      <c r="DF135" s="8"/>
      <c r="DG135" s="8"/>
      <c r="DH135" s="8"/>
      <c r="DI135" s="8"/>
      <c r="DJ135" s="8"/>
      <c r="DK135" s="8"/>
      <c r="DL135" s="8"/>
    </row>
    <row r="136" spans="98:116" x14ac:dyDescent="0.25">
      <c r="CT136" s="16"/>
      <c r="CU136" s="5"/>
      <c r="CV136" s="5"/>
      <c r="CW136" s="5"/>
      <c r="CX136" s="5"/>
      <c r="CY136" s="5"/>
      <c r="CZ136" s="5"/>
      <c r="DC136" s="12"/>
      <c r="DD136" s="12"/>
      <c r="DF136" s="8"/>
      <c r="DG136" s="8"/>
      <c r="DH136" s="8"/>
      <c r="DI136" s="8"/>
      <c r="DJ136" s="8"/>
      <c r="DK136" s="8"/>
      <c r="DL136" s="8"/>
    </row>
    <row r="137" spans="98:116" ht="15.75" x14ac:dyDescent="0.3">
      <c r="CT137" s="13"/>
      <c r="CU137" s="5"/>
      <c r="CV137" s="5"/>
      <c r="CW137" s="5"/>
      <c r="CX137" s="5"/>
      <c r="CY137" s="5"/>
      <c r="CZ137" s="5"/>
      <c r="DC137" s="12"/>
      <c r="DD137" s="12"/>
      <c r="DF137" s="8"/>
      <c r="DG137" s="8"/>
      <c r="DH137" s="8"/>
      <c r="DI137" s="8"/>
      <c r="DJ137" s="8"/>
      <c r="DK137" s="8"/>
      <c r="DL137" s="8"/>
    </row>
    <row r="138" spans="98:116" ht="15.75" x14ac:dyDescent="0.3">
      <c r="CT138" s="13"/>
      <c r="CU138" s="5"/>
      <c r="CV138" s="5"/>
      <c r="CW138" s="5"/>
      <c r="CX138" s="5"/>
      <c r="CY138" s="5"/>
      <c r="CZ138" s="5"/>
      <c r="DC138" s="12"/>
      <c r="DD138" s="12"/>
      <c r="DF138" s="8"/>
      <c r="DG138" s="8"/>
      <c r="DH138" s="8"/>
      <c r="DI138" s="8"/>
      <c r="DJ138" s="8"/>
      <c r="DK138" s="8"/>
      <c r="DL138" s="8"/>
    </row>
    <row r="139" spans="98:116" x14ac:dyDescent="0.25">
      <c r="CU139" s="5"/>
      <c r="CV139" s="5"/>
      <c r="CW139" s="5"/>
      <c r="CX139" s="5"/>
      <c r="CY139" s="5"/>
      <c r="CZ139" s="5"/>
      <c r="DC139" s="12"/>
      <c r="DD139" s="12"/>
      <c r="DF139" s="8"/>
      <c r="DG139" s="8"/>
      <c r="DH139" s="8"/>
      <c r="DI139" s="8"/>
      <c r="DJ139" s="8"/>
      <c r="DK139" s="8"/>
      <c r="DL139" s="8"/>
    </row>
    <row r="140" spans="98:116" x14ac:dyDescent="0.25">
      <c r="CU140" s="5"/>
      <c r="CV140" s="5"/>
      <c r="CW140" s="5"/>
      <c r="CX140" s="5"/>
      <c r="CY140" s="5"/>
      <c r="CZ140" s="5"/>
      <c r="DC140" s="12"/>
      <c r="DD140" s="12"/>
      <c r="DF140" s="8"/>
      <c r="DG140" s="8"/>
      <c r="DH140" s="8"/>
      <c r="DI140" s="8"/>
      <c r="DJ140" s="8"/>
      <c r="DK140" s="8"/>
      <c r="DL140" s="8"/>
    </row>
    <row r="141" spans="98:116" x14ac:dyDescent="0.25">
      <c r="CU141" s="5"/>
      <c r="CV141" s="5"/>
      <c r="CW141" s="5"/>
      <c r="CX141" s="5"/>
      <c r="CY141" s="5"/>
      <c r="CZ141" s="5"/>
      <c r="DC141" s="12"/>
      <c r="DD141" s="12"/>
      <c r="DF141" s="8"/>
      <c r="DG141" s="8"/>
      <c r="DH141" s="8"/>
      <c r="DI141" s="8"/>
      <c r="DJ141" s="8"/>
      <c r="DK141" s="8"/>
      <c r="DL141" s="8"/>
    </row>
    <row r="142" spans="98:116" x14ac:dyDescent="0.25">
      <c r="CU142" s="5"/>
      <c r="CV142" s="5"/>
      <c r="CW142" s="5"/>
      <c r="CX142" s="5"/>
      <c r="CY142" s="5"/>
      <c r="CZ142" s="5"/>
      <c r="DC142" s="12"/>
      <c r="DD142" s="12"/>
      <c r="DF142" s="8"/>
      <c r="DG142" s="8"/>
      <c r="DH142" s="8"/>
      <c r="DI142" s="8"/>
      <c r="DJ142" s="8"/>
      <c r="DK142" s="8"/>
      <c r="DL142" s="8"/>
    </row>
    <row r="143" spans="98:116" ht="15.75" x14ac:dyDescent="0.3">
      <c r="CT143" s="13"/>
      <c r="CU143" s="5"/>
      <c r="CV143" s="5"/>
      <c r="CW143" s="5"/>
      <c r="CX143" s="5"/>
      <c r="CY143" s="5"/>
      <c r="CZ143" s="5"/>
      <c r="DC143" s="12"/>
      <c r="DD143" s="12"/>
      <c r="DF143" s="8"/>
      <c r="DG143" s="8"/>
      <c r="DH143" s="8"/>
      <c r="DI143" s="8"/>
      <c r="DJ143" s="8"/>
      <c r="DK143" s="8"/>
      <c r="DL143" s="8"/>
    </row>
    <row r="144" spans="98:116" ht="15.75" x14ac:dyDescent="0.3">
      <c r="CT144" s="13"/>
      <c r="CU144" s="5"/>
      <c r="CV144" s="5"/>
      <c r="CW144" s="5"/>
      <c r="CX144" s="5"/>
      <c r="CY144" s="5"/>
      <c r="CZ144" s="5"/>
      <c r="DC144" s="12"/>
      <c r="DD144" s="12"/>
      <c r="DF144" s="8"/>
      <c r="DG144" s="8"/>
      <c r="DH144" s="8"/>
      <c r="DI144" s="8"/>
      <c r="DJ144" s="8"/>
      <c r="DK144" s="8"/>
      <c r="DL144" s="8"/>
    </row>
    <row r="145" spans="98:116" ht="15.75" x14ac:dyDescent="0.3">
      <c r="CT145" s="13"/>
      <c r="CU145" s="5"/>
      <c r="CV145" s="5"/>
      <c r="CW145" s="5"/>
      <c r="CX145" s="5"/>
      <c r="CY145" s="5"/>
      <c r="CZ145" s="5"/>
      <c r="DC145" s="12"/>
      <c r="DD145" s="12"/>
      <c r="DF145" s="8"/>
      <c r="DG145" s="8"/>
      <c r="DH145" s="8"/>
      <c r="DI145" s="8"/>
      <c r="DJ145" s="8"/>
      <c r="DK145" s="8"/>
      <c r="DL145" s="8"/>
    </row>
    <row r="146" spans="98:116" x14ac:dyDescent="0.25">
      <c r="CT146" s="16"/>
      <c r="CU146" s="5"/>
      <c r="CV146" s="5"/>
      <c r="CW146" s="5"/>
      <c r="CX146" s="5"/>
      <c r="CY146" s="5"/>
      <c r="CZ146" s="5"/>
      <c r="DC146" s="12"/>
      <c r="DD146" s="12"/>
      <c r="DF146" s="8"/>
      <c r="DG146" s="8"/>
      <c r="DH146" s="8"/>
      <c r="DI146" s="8"/>
      <c r="DJ146" s="8"/>
      <c r="DK146" s="8"/>
      <c r="DL146" s="8"/>
    </row>
    <row r="147" spans="98:116" x14ac:dyDescent="0.25">
      <c r="CT147" s="16"/>
      <c r="CU147" s="5"/>
      <c r="CV147" s="5"/>
      <c r="CW147" s="5"/>
      <c r="CX147" s="5"/>
      <c r="CY147" s="5"/>
      <c r="CZ147" s="5"/>
      <c r="DC147" s="12"/>
      <c r="DD147" s="12"/>
      <c r="DF147" s="8"/>
      <c r="DG147" s="8"/>
      <c r="DH147" s="8"/>
      <c r="DI147" s="8"/>
      <c r="DJ147" s="8"/>
      <c r="DK147" s="8"/>
      <c r="DL147" s="8"/>
    </row>
    <row r="148" spans="98:116" x14ac:dyDescent="0.25">
      <c r="CT148" s="16"/>
      <c r="CU148" s="5"/>
      <c r="CV148" s="5"/>
      <c r="CW148" s="5"/>
      <c r="CX148" s="5"/>
      <c r="CY148" s="5"/>
      <c r="CZ148" s="5"/>
      <c r="DC148" s="12"/>
      <c r="DD148" s="12"/>
      <c r="DF148" s="8"/>
      <c r="DG148" s="8"/>
      <c r="DH148" s="8"/>
      <c r="DI148" s="8"/>
      <c r="DJ148" s="8"/>
      <c r="DK148" s="8"/>
      <c r="DL148" s="8"/>
    </row>
    <row r="149" spans="98:116" x14ac:dyDescent="0.25">
      <c r="CU149" s="5"/>
      <c r="CV149" s="5"/>
      <c r="CW149" s="5"/>
      <c r="CX149" s="5"/>
      <c r="CY149" s="5"/>
      <c r="CZ149" s="5"/>
      <c r="DC149" s="12"/>
      <c r="DD149" s="12"/>
      <c r="DF149" s="8"/>
      <c r="DG149" s="8"/>
      <c r="DH149" s="8"/>
      <c r="DI149" s="8"/>
      <c r="DJ149" s="8"/>
      <c r="DK149" s="8"/>
      <c r="DL149" s="8"/>
    </row>
    <row r="150" spans="98:116" x14ac:dyDescent="0.25">
      <c r="CU150" s="5"/>
      <c r="CV150" s="5"/>
      <c r="CW150" s="5"/>
      <c r="CX150" s="5"/>
      <c r="CY150" s="5"/>
      <c r="CZ150" s="5"/>
      <c r="DC150" s="12"/>
      <c r="DD150" s="12"/>
      <c r="DF150" s="8"/>
      <c r="DG150" s="8"/>
      <c r="DH150" s="8"/>
      <c r="DI150" s="8"/>
      <c r="DJ150" s="8"/>
      <c r="DK150" s="8"/>
      <c r="DL150" s="8"/>
    </row>
    <row r="151" spans="98:116" ht="15.75" x14ac:dyDescent="0.3">
      <c r="CT151" s="13"/>
      <c r="CU151" s="5"/>
      <c r="CV151" s="5"/>
      <c r="CW151" s="5"/>
      <c r="CX151" s="5"/>
      <c r="CY151" s="5"/>
      <c r="CZ151" s="5"/>
      <c r="DC151" s="12"/>
      <c r="DD151" s="12"/>
      <c r="DF151" s="8"/>
      <c r="DG151" s="8"/>
      <c r="DH151" s="8"/>
      <c r="DI151" s="8"/>
      <c r="DJ151" s="8"/>
      <c r="DK151" s="8"/>
      <c r="DL151" s="8"/>
    </row>
    <row r="152" spans="98:116" ht="15.75" x14ac:dyDescent="0.3">
      <c r="CT152" s="13"/>
      <c r="CU152" s="5"/>
      <c r="CV152" s="5"/>
      <c r="CW152" s="5"/>
      <c r="CX152" s="5"/>
      <c r="CY152" s="5"/>
      <c r="CZ152" s="5"/>
      <c r="DC152" s="12"/>
      <c r="DD152" s="12"/>
      <c r="DF152" s="8"/>
      <c r="DG152" s="8"/>
      <c r="DH152" s="8"/>
      <c r="DI152" s="8"/>
      <c r="DJ152" s="8"/>
      <c r="DK152" s="8"/>
      <c r="DL152" s="8"/>
    </row>
    <row r="153" spans="98:116" ht="15.75" x14ac:dyDescent="0.3">
      <c r="CT153" s="13"/>
      <c r="CU153" s="5"/>
      <c r="CV153" s="5"/>
      <c r="CW153" s="5"/>
      <c r="CX153" s="5"/>
      <c r="CY153" s="5"/>
      <c r="CZ153" s="5"/>
      <c r="DC153" s="12"/>
      <c r="DD153" s="12"/>
      <c r="DF153" s="8"/>
      <c r="DG153" s="8"/>
      <c r="DH153" s="8"/>
      <c r="DI153" s="8"/>
      <c r="DJ153" s="8"/>
      <c r="DK153" s="8"/>
      <c r="DL153" s="8"/>
    </row>
    <row r="154" spans="98:116" ht="15.75" x14ac:dyDescent="0.3">
      <c r="CT154" s="13"/>
      <c r="CU154" s="5"/>
      <c r="CV154" s="5"/>
      <c r="CW154" s="5"/>
      <c r="CX154" s="5"/>
      <c r="CY154" s="5"/>
      <c r="CZ154" s="5"/>
      <c r="DC154" s="12"/>
      <c r="DD154" s="12"/>
      <c r="DF154" s="8"/>
      <c r="DG154" s="8"/>
      <c r="DH154" s="8"/>
      <c r="DI154" s="8"/>
      <c r="DJ154" s="8"/>
      <c r="DK154" s="8"/>
      <c r="DL154" s="8"/>
    </row>
    <row r="155" spans="98:116" x14ac:dyDescent="0.25">
      <c r="CT155" s="16"/>
      <c r="CU155" s="5"/>
      <c r="CV155" s="5"/>
      <c r="CW155" s="5"/>
      <c r="CX155" s="5"/>
      <c r="CY155" s="5"/>
      <c r="CZ155" s="5"/>
      <c r="DC155" s="12"/>
      <c r="DD155" s="12"/>
      <c r="DF155" s="8"/>
      <c r="DG155" s="8"/>
      <c r="DH155" s="8"/>
      <c r="DI155" s="8"/>
      <c r="DJ155" s="8"/>
      <c r="DK155" s="8"/>
      <c r="DL155" s="8"/>
    </row>
    <row r="156" spans="98:116" x14ac:dyDescent="0.25">
      <c r="CT156" s="16"/>
      <c r="CU156" s="5"/>
      <c r="CV156" s="5"/>
      <c r="CW156" s="5"/>
      <c r="CX156" s="5"/>
      <c r="CY156" s="5"/>
      <c r="CZ156" s="5"/>
      <c r="DC156" s="12"/>
      <c r="DD156" s="12"/>
      <c r="DF156" s="8"/>
      <c r="DG156" s="8"/>
      <c r="DH156" s="8"/>
      <c r="DI156" s="8"/>
      <c r="DJ156" s="8"/>
      <c r="DK156" s="8"/>
      <c r="DL156" s="8"/>
    </row>
    <row r="157" spans="98:116" ht="15.75" x14ac:dyDescent="0.3">
      <c r="CT157" s="13"/>
      <c r="CU157" s="5"/>
      <c r="CV157" s="5"/>
      <c r="CW157" s="5"/>
      <c r="CX157" s="5"/>
      <c r="CY157" s="5"/>
      <c r="CZ157" s="5"/>
      <c r="DC157" s="12"/>
      <c r="DD157" s="12"/>
      <c r="DF157" s="8"/>
      <c r="DG157" s="8"/>
      <c r="DH157" s="8"/>
      <c r="DI157" s="8"/>
      <c r="DJ157" s="8"/>
      <c r="DK157" s="8"/>
      <c r="DL157" s="8"/>
    </row>
    <row r="158" spans="98:116" ht="15.75" x14ac:dyDescent="0.3">
      <c r="CT158" s="13"/>
      <c r="CU158" s="5"/>
      <c r="CV158" s="5"/>
      <c r="CW158" s="5"/>
      <c r="CX158" s="5"/>
      <c r="CY158" s="5"/>
      <c r="CZ158" s="5"/>
      <c r="DC158" s="12"/>
      <c r="DD158" s="12"/>
      <c r="DF158" s="8"/>
      <c r="DG158" s="8"/>
      <c r="DH158" s="8"/>
      <c r="DI158" s="8"/>
      <c r="DJ158" s="8"/>
      <c r="DK158" s="8"/>
      <c r="DL158" s="8"/>
    </row>
    <row r="159" spans="98:116" ht="15.75" x14ac:dyDescent="0.3">
      <c r="CT159" s="13"/>
      <c r="CU159" s="5"/>
      <c r="CV159" s="5"/>
      <c r="CW159" s="5"/>
      <c r="CX159" s="5"/>
      <c r="CY159" s="5"/>
      <c r="CZ159" s="5"/>
      <c r="DC159" s="12"/>
      <c r="DD159" s="12"/>
      <c r="DF159" s="8"/>
      <c r="DG159" s="8"/>
      <c r="DH159" s="8"/>
      <c r="DI159" s="8"/>
      <c r="DJ159" s="8"/>
      <c r="DK159" s="8"/>
      <c r="DL159" s="8"/>
    </row>
    <row r="160" spans="98:116" ht="15.75" x14ac:dyDescent="0.3">
      <c r="CT160" s="13"/>
      <c r="CU160" s="5"/>
      <c r="CV160" s="5"/>
      <c r="CW160" s="5"/>
      <c r="CX160" s="5"/>
      <c r="CY160" s="5"/>
      <c r="CZ160" s="5"/>
      <c r="DC160" s="12"/>
      <c r="DD160" s="12"/>
      <c r="DF160" s="8"/>
      <c r="DG160" s="8"/>
      <c r="DH160" s="8"/>
      <c r="DI160" s="8"/>
      <c r="DJ160" s="8"/>
      <c r="DK160" s="8"/>
      <c r="DL160" s="8"/>
    </row>
    <row r="161" spans="98:116" ht="15.75" x14ac:dyDescent="0.3">
      <c r="CT161" s="13"/>
      <c r="CU161" s="5"/>
      <c r="CV161" s="5"/>
      <c r="CW161" s="5"/>
      <c r="CX161" s="5"/>
      <c r="CY161" s="5"/>
      <c r="CZ161" s="5"/>
      <c r="DC161" s="12"/>
      <c r="DD161" s="12"/>
      <c r="DF161" s="8"/>
      <c r="DG161" s="8"/>
      <c r="DH161" s="8"/>
      <c r="DI161" s="8"/>
      <c r="DJ161" s="8"/>
      <c r="DK161" s="8"/>
      <c r="DL161" s="8"/>
    </row>
    <row r="162" spans="98:116" ht="15.75" x14ac:dyDescent="0.3">
      <c r="CT162" s="13"/>
      <c r="CU162" s="5"/>
      <c r="CV162" s="5"/>
      <c r="CW162" s="5"/>
      <c r="CX162" s="5"/>
      <c r="CY162" s="5"/>
      <c r="CZ162" s="5"/>
      <c r="DC162" s="12"/>
      <c r="DD162" s="12"/>
      <c r="DF162" s="8"/>
      <c r="DG162" s="8"/>
      <c r="DH162" s="8"/>
      <c r="DI162" s="8"/>
      <c r="DJ162" s="8"/>
      <c r="DK162" s="8"/>
      <c r="DL162" s="8"/>
    </row>
    <row r="163" spans="98:116" ht="15.75" x14ac:dyDescent="0.3">
      <c r="CT163" s="13"/>
      <c r="CU163" s="5"/>
      <c r="CV163" s="5"/>
      <c r="CW163" s="5"/>
      <c r="CX163" s="5"/>
      <c r="CY163" s="5"/>
      <c r="CZ163" s="5"/>
      <c r="DC163" s="12"/>
      <c r="DD163" s="12"/>
      <c r="DF163" s="8"/>
      <c r="DG163" s="8"/>
      <c r="DH163" s="8"/>
      <c r="DI163" s="8"/>
      <c r="DJ163" s="8"/>
      <c r="DK163" s="8"/>
      <c r="DL163" s="8"/>
    </row>
    <row r="164" spans="98:116" ht="15.75" x14ac:dyDescent="0.3">
      <c r="CT164" s="13"/>
      <c r="CU164" s="5"/>
      <c r="CV164" s="5"/>
      <c r="CW164" s="5"/>
      <c r="CX164" s="5"/>
      <c r="CY164" s="5"/>
      <c r="CZ164" s="5"/>
      <c r="DC164" s="12"/>
      <c r="DD164" s="12"/>
      <c r="DF164" s="8"/>
      <c r="DG164" s="8"/>
      <c r="DH164" s="8"/>
      <c r="DI164" s="8"/>
      <c r="DJ164" s="8"/>
      <c r="DK164" s="8"/>
      <c r="DL164" s="8"/>
    </row>
    <row r="165" spans="98:116" ht="15.75" x14ac:dyDescent="0.3">
      <c r="CT165" s="13"/>
      <c r="CU165" s="5"/>
      <c r="CV165" s="5"/>
      <c r="CW165" s="5"/>
      <c r="CX165" s="5"/>
      <c r="CY165" s="5"/>
      <c r="CZ165" s="5"/>
      <c r="DC165" s="12"/>
      <c r="DD165" s="12"/>
      <c r="DF165" s="8"/>
      <c r="DG165" s="8"/>
      <c r="DH165" s="8"/>
      <c r="DI165" s="8"/>
      <c r="DJ165" s="8"/>
      <c r="DK165" s="8"/>
      <c r="DL165" s="8"/>
    </row>
    <row r="166" spans="98:116" x14ac:dyDescent="0.25">
      <c r="CT166" s="16"/>
      <c r="CU166" s="5"/>
      <c r="CV166" s="5"/>
      <c r="CW166" s="5"/>
      <c r="CX166" s="5"/>
      <c r="CY166" s="5"/>
      <c r="CZ166" s="5"/>
      <c r="DC166" s="12"/>
      <c r="DD166" s="12"/>
      <c r="DF166" s="8"/>
      <c r="DG166" s="8"/>
      <c r="DH166" s="8"/>
      <c r="DI166" s="8"/>
      <c r="DJ166" s="8"/>
      <c r="DK166" s="8"/>
      <c r="DL166" s="8"/>
    </row>
    <row r="167" spans="98:116" ht="15.75" x14ac:dyDescent="0.3">
      <c r="CT167" s="13"/>
      <c r="CU167" s="5"/>
      <c r="CV167" s="5"/>
      <c r="CW167" s="5"/>
      <c r="CX167" s="5"/>
      <c r="CY167" s="5"/>
      <c r="CZ167" s="5"/>
      <c r="DC167" s="12"/>
      <c r="DD167" s="12"/>
      <c r="DF167" s="8"/>
      <c r="DG167" s="8"/>
      <c r="DH167" s="8"/>
      <c r="DI167" s="8"/>
      <c r="DJ167" s="8"/>
      <c r="DK167" s="8"/>
      <c r="DL167" s="8"/>
    </row>
    <row r="168" spans="98:116" x14ac:dyDescent="0.25">
      <c r="CT168" s="16"/>
      <c r="CU168" s="5"/>
      <c r="CV168" s="5"/>
      <c r="CW168" s="5"/>
      <c r="CX168" s="5"/>
      <c r="CY168" s="5"/>
      <c r="CZ168" s="5"/>
      <c r="DC168" s="12"/>
      <c r="DD168" s="12"/>
      <c r="DF168" s="8"/>
      <c r="DG168" s="8"/>
      <c r="DH168" s="8"/>
      <c r="DI168" s="8"/>
      <c r="DJ168" s="8"/>
      <c r="DK168" s="8"/>
      <c r="DL168" s="8"/>
    </row>
    <row r="169" spans="98:116" x14ac:dyDescent="0.25">
      <c r="CT169" s="16"/>
      <c r="CU169" s="5"/>
      <c r="CV169" s="5"/>
      <c r="CW169" s="5"/>
      <c r="CX169" s="5"/>
      <c r="CY169" s="5"/>
      <c r="CZ169" s="5"/>
      <c r="DC169" s="12"/>
      <c r="DD169" s="12"/>
      <c r="DF169" s="8"/>
      <c r="DG169" s="8"/>
      <c r="DH169" s="8"/>
      <c r="DI169" s="8"/>
      <c r="DJ169" s="8"/>
      <c r="DK169" s="8"/>
      <c r="DL169" s="8"/>
    </row>
    <row r="170" spans="98:116" x14ac:dyDescent="0.25">
      <c r="CT170" s="16"/>
      <c r="CU170" s="5"/>
      <c r="CV170" s="5"/>
      <c r="CW170" s="5"/>
      <c r="CX170" s="5"/>
      <c r="CY170" s="5"/>
      <c r="CZ170" s="5"/>
      <c r="DC170" s="12"/>
      <c r="DD170" s="12"/>
      <c r="DF170" s="8"/>
      <c r="DG170" s="8"/>
      <c r="DH170" s="8"/>
      <c r="DI170" s="8"/>
      <c r="DJ170" s="8"/>
      <c r="DK170" s="8"/>
      <c r="DL170" s="8"/>
    </row>
    <row r="171" spans="98:116" ht="15.75" x14ac:dyDescent="0.3">
      <c r="CT171" s="13"/>
      <c r="CU171" s="5"/>
      <c r="CV171" s="5"/>
      <c r="CW171" s="5"/>
      <c r="CX171" s="5"/>
      <c r="CY171" s="5"/>
      <c r="CZ171" s="5"/>
      <c r="DC171" s="12"/>
      <c r="DD171" s="12"/>
      <c r="DF171" s="8"/>
      <c r="DG171" s="8"/>
      <c r="DH171" s="8"/>
      <c r="DI171" s="8"/>
      <c r="DJ171" s="8"/>
      <c r="DK171" s="8"/>
      <c r="DL171" s="8"/>
    </row>
    <row r="172" spans="98:116" ht="15.75" x14ac:dyDescent="0.3">
      <c r="CT172" s="13"/>
      <c r="CU172" s="5"/>
      <c r="CV172" s="5"/>
      <c r="CW172" s="5"/>
      <c r="CX172" s="5"/>
      <c r="CY172" s="5"/>
      <c r="CZ172" s="5"/>
      <c r="DC172" s="12"/>
      <c r="DD172" s="12"/>
      <c r="DF172" s="8"/>
      <c r="DG172" s="8"/>
      <c r="DH172" s="8"/>
      <c r="DI172" s="8"/>
      <c r="DJ172" s="8"/>
      <c r="DK172" s="8"/>
      <c r="DL172" s="8"/>
    </row>
    <row r="173" spans="98:116" ht="15.75" x14ac:dyDescent="0.3">
      <c r="CT173" s="13"/>
      <c r="CU173" s="5"/>
      <c r="CV173" s="5"/>
      <c r="CW173" s="5"/>
      <c r="CX173" s="5"/>
      <c r="CY173" s="5"/>
      <c r="CZ173" s="5"/>
      <c r="DC173" s="12"/>
      <c r="DD173" s="12"/>
      <c r="DF173" s="8"/>
      <c r="DG173" s="8"/>
      <c r="DH173" s="8"/>
      <c r="DI173" s="8"/>
      <c r="DJ173" s="8"/>
      <c r="DK173" s="8"/>
      <c r="DL173" s="8"/>
    </row>
    <row r="174" spans="98:116" ht="15.75" x14ac:dyDescent="0.3">
      <c r="CT174" s="13"/>
      <c r="CU174" s="5"/>
      <c r="CV174" s="5"/>
      <c r="CW174" s="5"/>
      <c r="CX174" s="5"/>
      <c r="CY174" s="5"/>
      <c r="CZ174" s="5"/>
      <c r="DC174" s="12"/>
      <c r="DD174" s="12"/>
      <c r="DF174" s="8"/>
      <c r="DG174" s="8"/>
      <c r="DH174" s="8"/>
      <c r="DI174" s="8"/>
      <c r="DJ174" s="8"/>
      <c r="DK174" s="8"/>
      <c r="DL174" s="8"/>
    </row>
    <row r="175" spans="98:116" ht="15.75" x14ac:dyDescent="0.3">
      <c r="CT175" s="13"/>
      <c r="CU175" s="5"/>
      <c r="CV175" s="5"/>
      <c r="CW175" s="5"/>
      <c r="CX175" s="5"/>
      <c r="CY175" s="5"/>
      <c r="CZ175" s="5"/>
      <c r="DC175" s="12"/>
      <c r="DD175" s="12"/>
      <c r="DF175" s="8"/>
      <c r="DG175" s="8"/>
      <c r="DH175" s="8"/>
      <c r="DI175" s="8"/>
      <c r="DJ175" s="8"/>
      <c r="DK175" s="8"/>
      <c r="DL175" s="8"/>
    </row>
    <row r="176" spans="98:116" ht="15.75" x14ac:dyDescent="0.3">
      <c r="CT176" s="13"/>
      <c r="CU176" s="5"/>
      <c r="CV176" s="5"/>
      <c r="CW176" s="5"/>
      <c r="CX176" s="5"/>
      <c r="CY176" s="5"/>
      <c r="CZ176" s="5"/>
      <c r="DC176" s="12"/>
      <c r="DD176" s="12"/>
      <c r="DF176" s="8"/>
      <c r="DG176" s="8"/>
      <c r="DH176" s="8"/>
      <c r="DI176" s="8"/>
      <c r="DJ176" s="8"/>
      <c r="DK176" s="8"/>
      <c r="DL176" s="8"/>
    </row>
    <row r="177" spans="98:116" ht="15.75" x14ac:dyDescent="0.3">
      <c r="CT177" s="13"/>
      <c r="CU177" s="5"/>
      <c r="CV177" s="5"/>
      <c r="CW177" s="5"/>
      <c r="CX177" s="5"/>
      <c r="CY177" s="5"/>
      <c r="CZ177" s="5"/>
      <c r="DC177" s="12"/>
      <c r="DD177" s="12"/>
      <c r="DF177" s="8"/>
      <c r="DG177" s="8"/>
      <c r="DH177" s="8"/>
      <c r="DI177" s="8"/>
      <c r="DJ177" s="8"/>
      <c r="DK177" s="8"/>
      <c r="DL177" s="8"/>
    </row>
    <row r="178" spans="98:116" ht="15.75" x14ac:dyDescent="0.3">
      <c r="CT178" s="13"/>
      <c r="CU178" s="5"/>
      <c r="CV178" s="5"/>
      <c r="CW178" s="5"/>
      <c r="CX178" s="5"/>
      <c r="CY178" s="5"/>
      <c r="CZ178" s="5"/>
      <c r="DC178" s="12"/>
      <c r="DD178" s="12"/>
      <c r="DF178" s="8"/>
      <c r="DG178" s="8"/>
      <c r="DH178" s="8"/>
      <c r="DI178" s="8"/>
      <c r="DJ178" s="8"/>
      <c r="DK178" s="8"/>
      <c r="DL178" s="8"/>
    </row>
    <row r="179" spans="98:116" ht="15.75" x14ac:dyDescent="0.3">
      <c r="CT179" s="13"/>
      <c r="CU179" s="5"/>
      <c r="CV179" s="5"/>
      <c r="CW179" s="5"/>
      <c r="CX179" s="5"/>
      <c r="CY179" s="5"/>
      <c r="CZ179" s="5"/>
      <c r="DC179" s="12"/>
      <c r="DD179" s="12"/>
      <c r="DF179" s="8"/>
      <c r="DG179" s="8"/>
      <c r="DH179" s="8"/>
      <c r="DI179" s="8"/>
      <c r="DJ179" s="8"/>
      <c r="DK179" s="8"/>
      <c r="DL179" s="8"/>
    </row>
    <row r="180" spans="98:116" ht="15.75" x14ac:dyDescent="0.3">
      <c r="CT180" s="13"/>
      <c r="CU180" s="5"/>
      <c r="CV180" s="5"/>
      <c r="CW180" s="5"/>
      <c r="CX180" s="5"/>
      <c r="CY180" s="5"/>
      <c r="CZ180" s="5"/>
      <c r="DC180" s="12"/>
      <c r="DD180" s="12"/>
      <c r="DF180" s="8"/>
      <c r="DG180" s="8"/>
      <c r="DH180" s="8"/>
      <c r="DI180" s="8"/>
      <c r="DJ180" s="8"/>
      <c r="DK180" s="8"/>
      <c r="DL180" s="8"/>
    </row>
    <row r="181" spans="98:116" ht="15.75" x14ac:dyDescent="0.3">
      <c r="CT181" s="13"/>
      <c r="CU181" s="5"/>
      <c r="CV181" s="5"/>
      <c r="CW181" s="5"/>
      <c r="CX181" s="5"/>
      <c r="CY181" s="5"/>
      <c r="CZ181" s="5"/>
      <c r="DC181" s="12"/>
      <c r="DD181" s="12"/>
      <c r="DF181" s="8"/>
      <c r="DG181" s="8"/>
      <c r="DH181" s="8"/>
      <c r="DI181" s="8"/>
      <c r="DJ181" s="8"/>
      <c r="DK181" s="8"/>
      <c r="DL181" s="8"/>
    </row>
    <row r="182" spans="98:116" ht="15.75" x14ac:dyDescent="0.3">
      <c r="CT182" s="13"/>
      <c r="CU182" s="5"/>
      <c r="CV182" s="5"/>
      <c r="CW182" s="5"/>
      <c r="CX182" s="5"/>
      <c r="CY182" s="5"/>
      <c r="CZ182" s="5"/>
      <c r="DC182" s="12"/>
      <c r="DD182" s="12"/>
      <c r="DF182" s="8"/>
      <c r="DG182" s="8"/>
      <c r="DH182" s="8"/>
      <c r="DI182" s="8"/>
      <c r="DJ182" s="8"/>
      <c r="DK182" s="8"/>
      <c r="DL182" s="8"/>
    </row>
    <row r="183" spans="98:116" ht="15.75" x14ac:dyDescent="0.3">
      <c r="CT183" s="13"/>
      <c r="CU183" s="5"/>
      <c r="CV183" s="5"/>
      <c r="CW183" s="5"/>
      <c r="CX183" s="5"/>
      <c r="CY183" s="5"/>
      <c r="CZ183" s="5"/>
      <c r="DC183" s="12"/>
      <c r="DD183" s="12"/>
      <c r="DF183" s="8"/>
      <c r="DG183" s="8"/>
      <c r="DH183" s="8"/>
      <c r="DI183" s="8"/>
      <c r="DJ183" s="8"/>
      <c r="DK183" s="8"/>
      <c r="DL183" s="8"/>
    </row>
    <row r="184" spans="98:116" ht="15.75" x14ac:dyDescent="0.3">
      <c r="CT184" s="13"/>
      <c r="CU184" s="5"/>
      <c r="CV184" s="5"/>
      <c r="CW184" s="5"/>
      <c r="CX184" s="5"/>
      <c r="CY184" s="5"/>
      <c r="CZ184" s="5"/>
      <c r="DC184" s="12"/>
      <c r="DD184" s="12"/>
      <c r="DF184" s="8"/>
      <c r="DG184" s="8"/>
      <c r="DH184" s="8"/>
      <c r="DI184" s="8"/>
      <c r="DJ184" s="8"/>
      <c r="DK184" s="8"/>
      <c r="DL184" s="8"/>
    </row>
    <row r="185" spans="98:116" ht="15.75" x14ac:dyDescent="0.3">
      <c r="CT185" s="13"/>
      <c r="CU185" s="5"/>
      <c r="CV185" s="5"/>
      <c r="CW185" s="5"/>
      <c r="CX185" s="5"/>
      <c r="CY185" s="5"/>
      <c r="CZ185" s="5"/>
      <c r="DC185" s="12"/>
      <c r="DD185" s="12"/>
      <c r="DF185" s="8"/>
      <c r="DG185" s="8"/>
      <c r="DH185" s="8"/>
      <c r="DI185" s="8"/>
      <c r="DJ185" s="8"/>
      <c r="DK185" s="8"/>
      <c r="DL185" s="8"/>
    </row>
    <row r="186" spans="98:116" ht="15.75" x14ac:dyDescent="0.3">
      <c r="CT186" s="13"/>
      <c r="CU186" s="5"/>
      <c r="CV186" s="5"/>
      <c r="CW186" s="5"/>
      <c r="CX186" s="5"/>
      <c r="CY186" s="5"/>
      <c r="CZ186" s="5"/>
      <c r="DC186" s="12"/>
      <c r="DD186" s="12"/>
      <c r="DF186" s="8"/>
      <c r="DG186" s="8"/>
      <c r="DH186" s="8"/>
      <c r="DI186" s="8"/>
      <c r="DJ186" s="8"/>
      <c r="DK186" s="8"/>
      <c r="DL186" s="8"/>
    </row>
    <row r="187" spans="98:116" ht="15.75" x14ac:dyDescent="0.3">
      <c r="CT187" s="13"/>
      <c r="CU187" s="5"/>
      <c r="CV187" s="5"/>
      <c r="CW187" s="5"/>
      <c r="CX187" s="5"/>
      <c r="CY187" s="5"/>
      <c r="CZ187" s="5"/>
      <c r="DC187" s="12"/>
      <c r="DD187" s="12"/>
      <c r="DF187" s="8"/>
      <c r="DG187" s="8"/>
      <c r="DH187" s="8"/>
      <c r="DI187" s="8"/>
      <c r="DJ187" s="8"/>
      <c r="DK187" s="8"/>
      <c r="DL187" s="8"/>
    </row>
    <row r="188" spans="98:116" ht="15.75" x14ac:dyDescent="0.3">
      <c r="CT188" s="13"/>
      <c r="CU188" s="5"/>
      <c r="CV188" s="5"/>
      <c r="CW188" s="5"/>
      <c r="CX188" s="5"/>
      <c r="CY188" s="5"/>
      <c r="CZ188" s="5"/>
      <c r="DC188" s="12"/>
      <c r="DD188" s="12"/>
      <c r="DF188" s="8"/>
      <c r="DG188" s="8"/>
      <c r="DH188" s="8"/>
      <c r="DI188" s="8"/>
      <c r="DJ188" s="8"/>
      <c r="DK188" s="8"/>
      <c r="DL188" s="8"/>
    </row>
    <row r="189" spans="98:116" ht="15.75" x14ac:dyDescent="0.3">
      <c r="CT189" s="13"/>
      <c r="CU189" s="5"/>
      <c r="CV189" s="5"/>
      <c r="CW189" s="5"/>
      <c r="CX189" s="5"/>
      <c r="CY189" s="5"/>
      <c r="CZ189" s="5"/>
      <c r="DC189" s="12"/>
      <c r="DD189" s="12"/>
      <c r="DF189" s="8"/>
      <c r="DG189" s="8"/>
      <c r="DH189" s="8"/>
      <c r="DI189" s="8"/>
      <c r="DJ189" s="8"/>
      <c r="DK189" s="8"/>
      <c r="DL189" s="8"/>
    </row>
    <row r="190" spans="98:116" ht="15.75" x14ac:dyDescent="0.3">
      <c r="CT190" s="13"/>
      <c r="CU190" s="5"/>
      <c r="CV190" s="5"/>
      <c r="CW190" s="5"/>
      <c r="CX190" s="5"/>
      <c r="CY190" s="5"/>
      <c r="CZ190" s="5"/>
      <c r="DC190" s="12"/>
      <c r="DD190" s="12"/>
      <c r="DF190" s="8"/>
      <c r="DG190" s="8"/>
      <c r="DH190" s="8"/>
      <c r="DI190" s="8"/>
      <c r="DJ190" s="8"/>
      <c r="DK190" s="8"/>
      <c r="DL190" s="8"/>
    </row>
    <row r="191" spans="98:116" ht="15.75" x14ac:dyDescent="0.3">
      <c r="CT191" s="13"/>
      <c r="CU191" s="5"/>
      <c r="CV191" s="5"/>
      <c r="CW191" s="5"/>
      <c r="CX191" s="5"/>
      <c r="CY191" s="5"/>
      <c r="CZ191" s="5"/>
      <c r="DC191" s="12"/>
      <c r="DD191" s="12"/>
      <c r="DF191" s="8"/>
      <c r="DG191" s="8"/>
      <c r="DH191" s="8"/>
      <c r="DI191" s="8"/>
      <c r="DJ191" s="8"/>
      <c r="DK191" s="8"/>
      <c r="DL191" s="8"/>
    </row>
    <row r="192" spans="98:116" ht="15.75" x14ac:dyDescent="0.3">
      <c r="CT192" s="13"/>
      <c r="CU192" s="5"/>
      <c r="CV192" s="5"/>
      <c r="CW192" s="5"/>
      <c r="CX192" s="5"/>
      <c r="CY192" s="5"/>
      <c r="CZ192" s="5"/>
      <c r="DC192" s="12"/>
      <c r="DD192" s="12"/>
      <c r="DF192" s="8"/>
      <c r="DG192" s="8"/>
      <c r="DH192" s="8"/>
      <c r="DI192" s="8"/>
      <c r="DJ192" s="8"/>
      <c r="DK192" s="8"/>
      <c r="DL192" s="8"/>
    </row>
    <row r="193" spans="98:116" ht="15.75" x14ac:dyDescent="0.3">
      <c r="CT193" s="13"/>
      <c r="CU193" s="5"/>
      <c r="CV193" s="5"/>
      <c r="CW193" s="5"/>
      <c r="CX193" s="5"/>
      <c r="CY193" s="5"/>
      <c r="CZ193" s="5"/>
      <c r="DC193" s="12"/>
      <c r="DD193" s="12"/>
      <c r="DF193" s="8"/>
      <c r="DG193" s="8"/>
      <c r="DH193" s="8"/>
      <c r="DI193" s="8"/>
      <c r="DJ193" s="8"/>
      <c r="DK193" s="8"/>
      <c r="DL193" s="8"/>
    </row>
    <row r="194" spans="98:116" ht="15.75" x14ac:dyDescent="0.3">
      <c r="CT194" s="13"/>
      <c r="CU194" s="5"/>
      <c r="CV194" s="5"/>
      <c r="CW194" s="5"/>
      <c r="CX194" s="5"/>
      <c r="CY194" s="5"/>
      <c r="CZ194" s="5"/>
      <c r="DC194" s="12"/>
      <c r="DD194" s="12"/>
      <c r="DF194" s="8"/>
      <c r="DG194" s="8"/>
      <c r="DH194" s="8"/>
      <c r="DI194" s="8"/>
      <c r="DJ194" s="8"/>
      <c r="DK194" s="8"/>
      <c r="DL194" s="8"/>
    </row>
    <row r="195" spans="98:116" ht="15.75" x14ac:dyDescent="0.3">
      <c r="CT195" s="13"/>
      <c r="CU195" s="5"/>
      <c r="CV195" s="5"/>
      <c r="CW195" s="5"/>
      <c r="CX195" s="5"/>
      <c r="CY195" s="5"/>
      <c r="CZ195" s="5"/>
      <c r="DC195" s="12"/>
      <c r="DD195" s="12"/>
      <c r="DF195" s="8"/>
      <c r="DG195" s="8"/>
      <c r="DH195" s="8"/>
      <c r="DI195" s="8"/>
      <c r="DJ195" s="8"/>
      <c r="DK195" s="8"/>
      <c r="DL195" s="8"/>
    </row>
    <row r="196" spans="98:116" ht="15.75" x14ac:dyDescent="0.3">
      <c r="CT196" s="13"/>
      <c r="CU196" s="5"/>
      <c r="CV196" s="5"/>
      <c r="CW196" s="5"/>
      <c r="CX196" s="5"/>
      <c r="CY196" s="5"/>
      <c r="CZ196" s="5"/>
      <c r="DC196" s="12"/>
      <c r="DD196" s="12"/>
      <c r="DF196" s="8"/>
      <c r="DG196" s="8"/>
      <c r="DH196" s="8"/>
      <c r="DI196" s="8"/>
      <c r="DJ196" s="8"/>
      <c r="DK196" s="8"/>
      <c r="DL196" s="8"/>
    </row>
    <row r="197" spans="98:116" ht="15.75" x14ac:dyDescent="0.3">
      <c r="CT197" s="13"/>
      <c r="CU197" s="5"/>
      <c r="CV197" s="5"/>
      <c r="CW197" s="5"/>
      <c r="CX197" s="5"/>
      <c r="CY197" s="5"/>
      <c r="CZ197" s="5"/>
      <c r="DC197" s="12"/>
      <c r="DD197" s="12"/>
      <c r="DF197" s="8"/>
      <c r="DG197" s="8"/>
      <c r="DH197" s="8"/>
      <c r="DI197" s="8"/>
      <c r="DJ197" s="8"/>
      <c r="DK197" s="8"/>
      <c r="DL197" s="8"/>
    </row>
    <row r="198" spans="98:116" ht="15.75" x14ac:dyDescent="0.3">
      <c r="CT198" s="13"/>
      <c r="CU198" s="5"/>
      <c r="CV198" s="5"/>
      <c r="CW198" s="5"/>
      <c r="CX198" s="5"/>
      <c r="CY198" s="5"/>
      <c r="CZ198" s="5"/>
      <c r="DC198" s="12"/>
      <c r="DD198" s="12"/>
      <c r="DF198" s="8"/>
      <c r="DG198" s="8"/>
      <c r="DH198" s="8"/>
      <c r="DI198" s="8"/>
      <c r="DJ198" s="8"/>
      <c r="DK198" s="8"/>
      <c r="DL198" s="8"/>
    </row>
    <row r="199" spans="98:116" ht="15.75" x14ac:dyDescent="0.3">
      <c r="CT199" s="13"/>
      <c r="CU199" s="5"/>
      <c r="CV199" s="5"/>
      <c r="CW199" s="5"/>
      <c r="CX199" s="5"/>
      <c r="CY199" s="5"/>
      <c r="CZ199" s="5"/>
      <c r="DC199" s="12"/>
      <c r="DD199" s="12"/>
      <c r="DF199" s="8"/>
      <c r="DG199" s="8"/>
      <c r="DH199" s="8"/>
      <c r="DI199" s="8"/>
      <c r="DJ199" s="8"/>
      <c r="DK199" s="8"/>
      <c r="DL199" s="8"/>
    </row>
    <row r="200" spans="98:116" ht="15.75" x14ac:dyDescent="0.3">
      <c r="CT200" s="13"/>
      <c r="CU200" s="5"/>
      <c r="CV200" s="5"/>
      <c r="CW200" s="5"/>
      <c r="CX200" s="5"/>
      <c r="CY200" s="5"/>
      <c r="CZ200" s="5"/>
      <c r="DC200" s="12"/>
      <c r="DD200" s="12"/>
      <c r="DF200" s="8"/>
      <c r="DG200" s="8"/>
      <c r="DH200" s="8"/>
      <c r="DI200" s="8"/>
      <c r="DJ200" s="8"/>
      <c r="DK200" s="8"/>
      <c r="DL200" s="8"/>
    </row>
    <row r="201" spans="98:116" ht="15.75" x14ac:dyDescent="0.3">
      <c r="CT201" s="13"/>
      <c r="CU201" s="5"/>
      <c r="CV201" s="5"/>
      <c r="CW201" s="5"/>
      <c r="CX201" s="5"/>
      <c r="CY201" s="5"/>
      <c r="CZ201" s="5"/>
      <c r="DC201" s="12"/>
      <c r="DD201" s="12"/>
      <c r="DF201" s="8"/>
      <c r="DG201" s="8"/>
      <c r="DH201" s="8"/>
      <c r="DI201" s="8"/>
      <c r="DJ201" s="8"/>
      <c r="DK201" s="8"/>
      <c r="DL201" s="8"/>
    </row>
    <row r="202" spans="98:116" ht="15.75" x14ac:dyDescent="0.3">
      <c r="CT202" s="13"/>
      <c r="CU202" s="5"/>
      <c r="CV202" s="5"/>
      <c r="CW202" s="5"/>
      <c r="CX202" s="5"/>
      <c r="CY202" s="5"/>
      <c r="CZ202" s="5"/>
      <c r="DC202" s="12"/>
      <c r="DD202" s="12"/>
      <c r="DF202" s="8"/>
      <c r="DG202" s="8"/>
      <c r="DH202" s="8"/>
      <c r="DI202" s="8"/>
      <c r="DJ202" s="8"/>
      <c r="DK202" s="8"/>
      <c r="DL202" s="8"/>
    </row>
    <row r="203" spans="98:116" ht="15.75" x14ac:dyDescent="0.3">
      <c r="CT203" s="13"/>
      <c r="CU203" s="5"/>
      <c r="CV203" s="5"/>
      <c r="CW203" s="5"/>
      <c r="CX203" s="5"/>
      <c r="CY203" s="5"/>
      <c r="CZ203" s="5"/>
      <c r="DC203" s="12"/>
      <c r="DD203" s="12"/>
      <c r="DF203" s="8"/>
      <c r="DG203" s="8"/>
      <c r="DH203" s="8"/>
      <c r="DI203" s="8"/>
      <c r="DJ203" s="8"/>
      <c r="DK203" s="8"/>
      <c r="DL203" s="8"/>
    </row>
    <row r="204" spans="98:116" ht="15.75" x14ac:dyDescent="0.3">
      <c r="CT204" s="13"/>
      <c r="CU204" s="5"/>
      <c r="CV204" s="5"/>
      <c r="CW204" s="5"/>
      <c r="CX204" s="5"/>
      <c r="CY204" s="5"/>
      <c r="CZ204" s="5"/>
      <c r="DC204" s="12"/>
      <c r="DD204" s="12"/>
      <c r="DF204" s="8"/>
      <c r="DG204" s="8"/>
      <c r="DH204" s="8"/>
      <c r="DI204" s="8"/>
      <c r="DJ204" s="8"/>
      <c r="DK204" s="8"/>
      <c r="DL204" s="8"/>
    </row>
    <row r="205" spans="98:116" ht="15.75" x14ac:dyDescent="0.3">
      <c r="CT205" s="13"/>
      <c r="CU205" s="5"/>
      <c r="CV205" s="5"/>
      <c r="CW205" s="5"/>
      <c r="CX205" s="5"/>
      <c r="CY205" s="5"/>
      <c r="CZ205" s="5"/>
      <c r="DC205" s="12"/>
      <c r="DD205" s="12"/>
      <c r="DF205" s="8"/>
      <c r="DG205" s="8"/>
      <c r="DH205" s="8"/>
      <c r="DI205" s="8"/>
      <c r="DJ205" s="8"/>
      <c r="DK205" s="8"/>
      <c r="DL205" s="8"/>
    </row>
    <row r="206" spans="98:116" ht="15.75" x14ac:dyDescent="0.3">
      <c r="CT206" s="13"/>
      <c r="CU206" s="5"/>
      <c r="CV206" s="5"/>
      <c r="CW206" s="5"/>
      <c r="CX206" s="5"/>
      <c r="CY206" s="5"/>
      <c r="CZ206" s="5"/>
      <c r="DC206" s="12"/>
      <c r="DD206" s="12"/>
      <c r="DF206" s="8"/>
      <c r="DG206" s="8"/>
      <c r="DH206" s="8"/>
      <c r="DI206" s="8"/>
      <c r="DJ206" s="8"/>
      <c r="DK206" s="8"/>
      <c r="DL206" s="8"/>
    </row>
    <row r="207" spans="98:116" ht="15.75" x14ac:dyDescent="0.3">
      <c r="CT207" s="13"/>
      <c r="CU207" s="5"/>
      <c r="CV207" s="5"/>
      <c r="CW207" s="5"/>
      <c r="CX207" s="5"/>
      <c r="CY207" s="5"/>
      <c r="CZ207" s="5"/>
      <c r="DC207" s="12"/>
      <c r="DD207" s="12"/>
      <c r="DF207" s="8"/>
      <c r="DG207" s="8"/>
      <c r="DH207" s="8"/>
      <c r="DI207" s="8"/>
      <c r="DJ207" s="8"/>
      <c r="DK207" s="8"/>
      <c r="DL207" s="8"/>
    </row>
    <row r="208" spans="98:116" ht="15.75" x14ac:dyDescent="0.3">
      <c r="CT208" s="13"/>
      <c r="CU208" s="5"/>
      <c r="CV208" s="5"/>
      <c r="CW208" s="5"/>
      <c r="CX208" s="5"/>
      <c r="CY208" s="5"/>
      <c r="CZ208" s="5"/>
      <c r="DC208" s="12"/>
      <c r="DD208" s="12"/>
      <c r="DF208" s="8"/>
      <c r="DG208" s="8"/>
      <c r="DH208" s="8"/>
      <c r="DI208" s="8"/>
      <c r="DJ208" s="8"/>
      <c r="DK208" s="8"/>
      <c r="DL208" s="8"/>
    </row>
    <row r="209" spans="98:116" ht="15.75" x14ac:dyDescent="0.3">
      <c r="CT209" s="13"/>
      <c r="CU209" s="5"/>
      <c r="CV209" s="5"/>
      <c r="CW209" s="5"/>
      <c r="CX209" s="5"/>
      <c r="CY209" s="5"/>
      <c r="CZ209" s="5"/>
      <c r="DC209" s="12"/>
      <c r="DD209" s="12"/>
      <c r="DF209" s="8"/>
      <c r="DG209" s="8"/>
      <c r="DH209" s="8"/>
      <c r="DI209" s="8"/>
      <c r="DJ209" s="8"/>
      <c r="DK209" s="8"/>
      <c r="DL209" s="8"/>
    </row>
    <row r="210" spans="98:116" ht="15.75" x14ac:dyDescent="0.3">
      <c r="CT210" s="13"/>
      <c r="CU210" s="5"/>
      <c r="CV210" s="5"/>
      <c r="CW210" s="5"/>
      <c r="CX210" s="5"/>
      <c r="CY210" s="5"/>
      <c r="CZ210" s="5"/>
      <c r="DC210" s="12"/>
      <c r="DD210" s="12"/>
      <c r="DF210" s="8"/>
      <c r="DG210" s="8"/>
      <c r="DH210" s="8"/>
      <c r="DI210" s="8"/>
      <c r="DJ210" s="8"/>
      <c r="DK210" s="8"/>
      <c r="DL210" s="8"/>
    </row>
    <row r="211" spans="98:116" ht="15.75" x14ac:dyDescent="0.3">
      <c r="CT211" s="13"/>
      <c r="CU211" s="5"/>
      <c r="CV211" s="5"/>
      <c r="CW211" s="5"/>
      <c r="CX211" s="5"/>
      <c r="CY211" s="5"/>
      <c r="CZ211" s="5"/>
      <c r="DC211" s="12"/>
      <c r="DD211" s="12"/>
      <c r="DF211" s="8"/>
      <c r="DG211" s="8"/>
      <c r="DH211" s="8"/>
      <c r="DI211" s="8"/>
      <c r="DJ211" s="8"/>
      <c r="DK211" s="8"/>
      <c r="DL211" s="8"/>
    </row>
    <row r="212" spans="98:116" ht="15.75" x14ac:dyDescent="0.3">
      <c r="CT212" s="13"/>
      <c r="CU212" s="5"/>
      <c r="CV212" s="5"/>
      <c r="CW212" s="5"/>
      <c r="CX212" s="5"/>
      <c r="CY212" s="5"/>
      <c r="CZ212" s="5"/>
      <c r="DC212" s="12"/>
      <c r="DD212" s="12"/>
      <c r="DF212" s="8"/>
      <c r="DG212" s="8"/>
      <c r="DH212" s="8"/>
      <c r="DI212" s="8"/>
      <c r="DJ212" s="8"/>
      <c r="DK212" s="8"/>
      <c r="DL212" s="8"/>
    </row>
    <row r="213" spans="98:116" ht="15.75" x14ac:dyDescent="0.3">
      <c r="CT213" s="13"/>
      <c r="CU213" s="5"/>
      <c r="CV213" s="5"/>
      <c r="CW213" s="5"/>
      <c r="CX213" s="5"/>
      <c r="CY213" s="5"/>
      <c r="CZ213" s="5"/>
      <c r="DC213" s="12"/>
      <c r="DD213" s="12"/>
      <c r="DF213" s="8"/>
      <c r="DG213" s="8"/>
      <c r="DH213" s="8"/>
      <c r="DI213" s="8"/>
      <c r="DJ213" s="8"/>
      <c r="DK213" s="8"/>
      <c r="DL213" s="8"/>
    </row>
    <row r="214" spans="98:116" ht="15.75" x14ac:dyDescent="0.3">
      <c r="CT214" s="13"/>
      <c r="CU214" s="5"/>
      <c r="CV214" s="5"/>
      <c r="CW214" s="5"/>
      <c r="CX214" s="5"/>
      <c r="CY214" s="5"/>
      <c r="CZ214" s="5"/>
      <c r="DC214" s="12"/>
      <c r="DD214" s="12"/>
      <c r="DF214" s="8"/>
      <c r="DG214" s="8"/>
      <c r="DH214" s="8"/>
      <c r="DI214" s="8"/>
      <c r="DJ214" s="8"/>
      <c r="DK214" s="8"/>
      <c r="DL214" s="8"/>
    </row>
    <row r="215" spans="98:116" x14ac:dyDescent="0.25">
      <c r="CT215" s="16"/>
      <c r="CU215" s="5"/>
      <c r="CV215" s="5"/>
      <c r="CW215" s="5"/>
      <c r="CX215" s="5"/>
      <c r="CY215" s="5"/>
      <c r="CZ215" s="5"/>
      <c r="DC215" s="12"/>
      <c r="DD215" s="12"/>
      <c r="DF215" s="8"/>
      <c r="DG215" s="8"/>
      <c r="DH215" s="8"/>
      <c r="DI215" s="8"/>
      <c r="DJ215" s="8"/>
      <c r="DK215" s="8"/>
      <c r="DL215" s="8"/>
    </row>
    <row r="216" spans="98:116" ht="15.75" x14ac:dyDescent="0.3">
      <c r="CT216" s="13"/>
      <c r="CU216" s="5"/>
      <c r="CV216" s="5"/>
      <c r="CW216" s="5"/>
      <c r="CX216" s="5"/>
      <c r="CY216" s="5"/>
      <c r="CZ216" s="5"/>
      <c r="DC216" s="12"/>
      <c r="DD216" s="12"/>
      <c r="DF216" s="8"/>
      <c r="DG216" s="8"/>
      <c r="DH216" s="8"/>
      <c r="DI216" s="8"/>
      <c r="DJ216" s="8"/>
      <c r="DK216" s="8"/>
      <c r="DL216" s="8"/>
    </row>
    <row r="217" spans="98:116" ht="15.75" x14ac:dyDescent="0.3">
      <c r="CT217" s="13"/>
      <c r="CU217" s="5"/>
      <c r="CV217" s="5"/>
      <c r="CW217" s="5"/>
      <c r="CX217" s="5"/>
      <c r="CY217" s="5"/>
      <c r="CZ217" s="5"/>
      <c r="DC217" s="12"/>
      <c r="DD217" s="12"/>
      <c r="DF217" s="8"/>
      <c r="DG217" s="8"/>
      <c r="DH217" s="8"/>
      <c r="DI217" s="8"/>
      <c r="DJ217" s="8"/>
      <c r="DK217" s="8"/>
      <c r="DL217" s="8"/>
    </row>
    <row r="218" spans="98:116" ht="15.75" x14ac:dyDescent="0.3">
      <c r="CT218" s="13"/>
      <c r="CU218" s="5"/>
      <c r="CV218" s="5"/>
      <c r="CW218" s="5"/>
      <c r="CX218" s="5"/>
      <c r="CY218" s="5"/>
      <c r="CZ218" s="5"/>
      <c r="DC218" s="12"/>
      <c r="DD218" s="12"/>
      <c r="DF218" s="8"/>
      <c r="DG218" s="8"/>
      <c r="DH218" s="8"/>
      <c r="DI218" s="8"/>
      <c r="DJ218" s="8"/>
      <c r="DK218" s="8"/>
      <c r="DL218" s="8"/>
    </row>
    <row r="219" spans="98:116" ht="15.75" x14ac:dyDescent="0.3">
      <c r="CT219" s="13"/>
      <c r="CU219" s="5"/>
      <c r="CV219" s="5"/>
      <c r="CW219" s="5"/>
      <c r="CX219" s="5"/>
      <c r="CY219" s="5"/>
      <c r="CZ219" s="5"/>
      <c r="DC219" s="12"/>
      <c r="DD219" s="12"/>
      <c r="DF219" s="8"/>
      <c r="DG219" s="8"/>
      <c r="DH219" s="8"/>
      <c r="DI219" s="8"/>
      <c r="DJ219" s="8"/>
      <c r="DK219" s="8"/>
      <c r="DL219" s="8"/>
    </row>
    <row r="220" spans="98:116" ht="15.75" x14ac:dyDescent="0.3">
      <c r="CT220" s="13"/>
      <c r="CU220" s="5"/>
      <c r="CV220" s="5"/>
      <c r="CW220" s="5"/>
      <c r="CX220" s="5"/>
      <c r="CY220" s="5"/>
      <c r="CZ220" s="5"/>
      <c r="DC220" s="12"/>
      <c r="DD220" s="12"/>
      <c r="DF220" s="8"/>
      <c r="DG220" s="8"/>
      <c r="DH220" s="8"/>
      <c r="DI220" s="8"/>
      <c r="DJ220" s="8"/>
      <c r="DK220" s="8"/>
      <c r="DL220" s="8"/>
    </row>
    <row r="221" spans="98:116" x14ac:dyDescent="0.25">
      <c r="CT221" s="16"/>
      <c r="CU221" s="5"/>
      <c r="CV221" s="5"/>
      <c r="CW221" s="5"/>
      <c r="CX221" s="5"/>
      <c r="CY221" s="5"/>
      <c r="CZ221" s="5"/>
      <c r="DC221" s="12"/>
      <c r="DD221" s="12"/>
      <c r="DF221" s="8"/>
      <c r="DG221" s="8"/>
      <c r="DH221" s="8"/>
      <c r="DI221" s="8"/>
      <c r="DJ221" s="8"/>
      <c r="DK221" s="8"/>
      <c r="DL221" s="8"/>
    </row>
    <row r="222" spans="98:116" ht="15.75" x14ac:dyDescent="0.3">
      <c r="CT222" s="13"/>
      <c r="CU222" s="5"/>
      <c r="CV222" s="5"/>
      <c r="CW222" s="5"/>
      <c r="CX222" s="5"/>
      <c r="CY222" s="5"/>
      <c r="CZ222" s="5"/>
      <c r="DC222" s="12"/>
      <c r="DD222" s="12"/>
      <c r="DF222" s="8"/>
      <c r="DG222" s="8"/>
      <c r="DH222" s="8"/>
      <c r="DI222" s="8"/>
      <c r="DJ222" s="8"/>
      <c r="DK222" s="8"/>
      <c r="DL222" s="8"/>
    </row>
    <row r="223" spans="98:116" ht="15.75" x14ac:dyDescent="0.3">
      <c r="CT223" s="13"/>
      <c r="CU223" s="5"/>
      <c r="CV223" s="5"/>
      <c r="CW223" s="5"/>
      <c r="CX223" s="5"/>
      <c r="CY223" s="5"/>
      <c r="CZ223" s="5"/>
      <c r="DC223" s="12"/>
      <c r="DD223" s="12"/>
      <c r="DF223" s="8"/>
      <c r="DG223" s="8"/>
      <c r="DH223" s="8"/>
      <c r="DI223" s="8"/>
      <c r="DJ223" s="8"/>
      <c r="DK223" s="8"/>
      <c r="DL223" s="8"/>
    </row>
    <row r="224" spans="98:116" x14ac:dyDescent="0.25">
      <c r="CT224" s="16"/>
      <c r="CU224" s="5"/>
      <c r="CV224" s="5"/>
      <c r="CW224" s="5"/>
      <c r="CX224" s="5"/>
      <c r="CY224" s="5"/>
      <c r="CZ224" s="5"/>
      <c r="DC224" s="12"/>
      <c r="DD224" s="12"/>
      <c r="DF224" s="8"/>
      <c r="DG224" s="8"/>
      <c r="DH224" s="8"/>
      <c r="DI224" s="8"/>
      <c r="DJ224" s="8"/>
      <c r="DK224" s="8"/>
      <c r="DL224" s="8"/>
    </row>
    <row r="225" spans="98:116" ht="15.75" x14ac:dyDescent="0.3">
      <c r="CT225" s="13"/>
      <c r="CU225" s="5"/>
      <c r="CV225" s="5"/>
      <c r="CW225" s="5"/>
      <c r="CX225" s="5"/>
      <c r="CY225" s="5"/>
      <c r="CZ225" s="5"/>
      <c r="DC225" s="12"/>
      <c r="DD225" s="12"/>
      <c r="DF225" s="8"/>
      <c r="DG225" s="8"/>
      <c r="DH225" s="8"/>
      <c r="DI225" s="8"/>
      <c r="DJ225" s="8"/>
      <c r="DK225" s="8"/>
      <c r="DL225" s="8"/>
    </row>
    <row r="226" spans="98:116" ht="15.75" x14ac:dyDescent="0.3">
      <c r="CT226" s="13"/>
      <c r="CU226" s="5"/>
      <c r="CV226" s="5"/>
      <c r="CW226" s="5"/>
      <c r="CX226" s="5"/>
      <c r="CY226" s="5"/>
      <c r="CZ226" s="5"/>
      <c r="DC226" s="12"/>
      <c r="DD226" s="12"/>
      <c r="DF226" s="8"/>
      <c r="DG226" s="8"/>
      <c r="DH226" s="8"/>
      <c r="DI226" s="8"/>
      <c r="DJ226" s="8"/>
      <c r="DK226" s="8"/>
      <c r="DL226" s="8"/>
    </row>
    <row r="227" spans="98:116" ht="15.75" x14ac:dyDescent="0.3">
      <c r="CT227" s="13"/>
      <c r="CU227" s="5"/>
      <c r="CV227" s="5"/>
      <c r="CW227" s="5"/>
      <c r="CX227" s="5"/>
      <c r="CY227" s="5"/>
      <c r="CZ227" s="5"/>
      <c r="DC227" s="12"/>
      <c r="DD227" s="12"/>
      <c r="DF227" s="8"/>
      <c r="DG227" s="8"/>
      <c r="DH227" s="8"/>
      <c r="DI227" s="8"/>
      <c r="DJ227" s="8"/>
      <c r="DK227" s="8"/>
      <c r="DL227" s="8"/>
    </row>
    <row r="228" spans="98:116" ht="15.75" x14ac:dyDescent="0.3">
      <c r="CT228" s="13"/>
      <c r="CU228" s="5"/>
      <c r="CV228" s="5"/>
      <c r="CW228" s="5"/>
      <c r="CX228" s="5"/>
      <c r="CY228" s="5"/>
      <c r="CZ228" s="5"/>
      <c r="DC228" s="12"/>
      <c r="DD228" s="12"/>
      <c r="DF228" s="8"/>
      <c r="DG228" s="8"/>
      <c r="DH228" s="8"/>
      <c r="DI228" s="8"/>
      <c r="DJ228" s="8"/>
      <c r="DK228" s="8"/>
      <c r="DL228" s="8"/>
    </row>
    <row r="229" spans="98:116" ht="15.75" x14ac:dyDescent="0.3">
      <c r="CT229" s="13"/>
      <c r="CU229" s="5"/>
      <c r="CV229" s="5"/>
      <c r="CW229" s="5"/>
      <c r="CX229" s="5"/>
      <c r="CY229" s="5"/>
      <c r="CZ229" s="5"/>
      <c r="DC229" s="12"/>
      <c r="DD229" s="12"/>
      <c r="DF229" s="8"/>
      <c r="DG229" s="8"/>
      <c r="DH229" s="8"/>
      <c r="DI229" s="8"/>
      <c r="DJ229" s="8"/>
      <c r="DK229" s="8"/>
      <c r="DL229" s="8"/>
    </row>
    <row r="230" spans="98:116" ht="15.75" x14ac:dyDescent="0.3">
      <c r="CT230" s="13"/>
      <c r="CU230" s="5"/>
      <c r="CV230" s="5"/>
      <c r="CW230" s="5"/>
      <c r="CX230" s="5"/>
      <c r="CY230" s="5"/>
      <c r="CZ230" s="5"/>
      <c r="DC230" s="12"/>
      <c r="DD230" s="12"/>
      <c r="DF230" s="8"/>
      <c r="DG230" s="8"/>
      <c r="DH230" s="8"/>
      <c r="DI230" s="8"/>
      <c r="DJ230" s="8"/>
      <c r="DK230" s="8"/>
      <c r="DL230" s="8"/>
    </row>
    <row r="231" spans="98:116" ht="15.75" x14ac:dyDescent="0.3">
      <c r="CT231" s="13"/>
      <c r="CU231" s="5"/>
      <c r="CV231" s="5"/>
      <c r="CW231" s="5"/>
      <c r="CX231" s="5"/>
      <c r="CY231" s="5"/>
      <c r="CZ231" s="5"/>
      <c r="DC231" s="12"/>
      <c r="DD231" s="12"/>
      <c r="DF231" s="8"/>
      <c r="DG231" s="8"/>
      <c r="DH231" s="8"/>
      <c r="DI231" s="8"/>
      <c r="DJ231" s="8"/>
      <c r="DK231" s="8"/>
      <c r="DL231" s="8"/>
    </row>
    <row r="232" spans="98:116" ht="15.75" x14ac:dyDescent="0.3">
      <c r="CT232" s="13"/>
      <c r="CU232" s="5"/>
      <c r="CV232" s="5"/>
      <c r="CW232" s="5"/>
      <c r="CX232" s="5"/>
      <c r="CY232" s="5"/>
      <c r="CZ232" s="5"/>
      <c r="DC232" s="12"/>
      <c r="DD232" s="12"/>
      <c r="DF232" s="8"/>
      <c r="DG232" s="8"/>
      <c r="DH232" s="8"/>
      <c r="DI232" s="8"/>
      <c r="DJ232" s="8"/>
      <c r="DK232" s="8"/>
      <c r="DL232" s="8"/>
    </row>
    <row r="233" spans="98:116" ht="15.75" x14ac:dyDescent="0.3">
      <c r="CT233" s="13"/>
      <c r="CU233" s="5"/>
      <c r="CV233" s="5"/>
      <c r="CW233" s="5"/>
      <c r="CX233" s="5"/>
      <c r="CY233" s="5"/>
      <c r="CZ233" s="5"/>
      <c r="DC233" s="12"/>
      <c r="DD233" s="12"/>
      <c r="DF233" s="8"/>
      <c r="DG233" s="8"/>
      <c r="DH233" s="8"/>
      <c r="DI233" s="8"/>
      <c r="DJ233" s="8"/>
      <c r="DK233" s="8"/>
      <c r="DL233" s="8"/>
    </row>
    <row r="234" spans="98:116" ht="15.75" x14ac:dyDescent="0.3">
      <c r="CT234" s="13"/>
      <c r="CU234" s="5"/>
      <c r="CV234" s="5"/>
      <c r="CW234" s="5"/>
      <c r="CX234" s="5"/>
      <c r="CY234" s="5"/>
      <c r="CZ234" s="5"/>
      <c r="DC234" s="12"/>
      <c r="DD234" s="12"/>
      <c r="DF234" s="8"/>
      <c r="DG234" s="8"/>
      <c r="DH234" s="8"/>
      <c r="DI234" s="8"/>
      <c r="DJ234" s="8"/>
      <c r="DK234" s="8"/>
      <c r="DL234" s="8"/>
    </row>
    <row r="235" spans="98:116" ht="15.75" x14ac:dyDescent="0.3">
      <c r="CT235" s="13"/>
      <c r="CU235" s="5"/>
      <c r="CV235" s="5"/>
      <c r="CW235" s="5"/>
      <c r="CX235" s="5"/>
      <c r="CY235" s="5"/>
      <c r="CZ235" s="5"/>
      <c r="DC235" s="12"/>
      <c r="DD235" s="12"/>
      <c r="DF235" s="8"/>
      <c r="DG235" s="8"/>
      <c r="DH235" s="8"/>
      <c r="DI235" s="8"/>
      <c r="DJ235" s="8"/>
      <c r="DK235" s="8"/>
      <c r="DL235" s="8"/>
    </row>
    <row r="236" spans="98:116" ht="15.75" x14ac:dyDescent="0.3">
      <c r="CT236" s="13"/>
      <c r="CU236" s="5"/>
      <c r="CV236" s="5"/>
      <c r="CW236" s="5"/>
      <c r="CX236" s="5"/>
      <c r="CY236" s="5"/>
      <c r="CZ236" s="5"/>
      <c r="DC236" s="12"/>
      <c r="DD236" s="12"/>
      <c r="DF236" s="8"/>
      <c r="DG236" s="8"/>
      <c r="DH236" s="8"/>
      <c r="DI236" s="8"/>
      <c r="DJ236" s="8"/>
      <c r="DK236" s="8"/>
      <c r="DL236" s="8"/>
    </row>
    <row r="237" spans="98:116" ht="15.75" x14ac:dyDescent="0.3">
      <c r="CT237" s="13"/>
      <c r="CU237" s="5"/>
      <c r="CV237" s="5"/>
      <c r="CW237" s="5"/>
      <c r="CX237" s="5"/>
      <c r="CY237" s="5"/>
      <c r="CZ237" s="5"/>
      <c r="DC237" s="12"/>
      <c r="DD237" s="12"/>
      <c r="DF237" s="8"/>
      <c r="DG237" s="8"/>
      <c r="DH237" s="8"/>
      <c r="DI237" s="8"/>
      <c r="DJ237" s="8"/>
      <c r="DK237" s="8"/>
      <c r="DL237" s="8"/>
    </row>
    <row r="238" spans="98:116" ht="15.75" x14ac:dyDescent="0.3">
      <c r="CT238" s="13"/>
      <c r="CU238" s="5"/>
      <c r="CV238" s="5"/>
      <c r="CW238" s="5"/>
      <c r="CX238" s="5"/>
      <c r="CY238" s="5"/>
      <c r="CZ238" s="5"/>
      <c r="DC238" s="12"/>
      <c r="DD238" s="12"/>
      <c r="DF238" s="8"/>
      <c r="DG238" s="8"/>
      <c r="DH238" s="8"/>
      <c r="DI238" s="8"/>
      <c r="DJ238" s="8"/>
      <c r="DK238" s="8"/>
      <c r="DL238" s="8"/>
    </row>
    <row r="239" spans="98:116" x14ac:dyDescent="0.25">
      <c r="CT239" s="16"/>
      <c r="CU239" s="5"/>
      <c r="CV239" s="5"/>
      <c r="CW239" s="5"/>
      <c r="CX239" s="5"/>
      <c r="CY239" s="5"/>
      <c r="CZ239" s="5"/>
      <c r="DC239" s="12"/>
      <c r="DD239" s="12"/>
      <c r="DF239" s="8"/>
      <c r="DG239" s="8"/>
      <c r="DH239" s="8"/>
      <c r="DI239" s="8"/>
      <c r="DJ239" s="8"/>
      <c r="DK239" s="8"/>
      <c r="DL239" s="8"/>
    </row>
    <row r="240" spans="98:116" x14ac:dyDescent="0.25">
      <c r="CT240" s="16"/>
      <c r="CU240" s="5"/>
      <c r="CV240" s="5"/>
      <c r="CW240" s="5"/>
      <c r="CX240" s="5"/>
      <c r="CY240" s="5"/>
      <c r="CZ240" s="5"/>
      <c r="DC240" s="12"/>
      <c r="DD240" s="12"/>
      <c r="DF240" s="8"/>
      <c r="DG240" s="8"/>
      <c r="DH240" s="8"/>
      <c r="DI240" s="8"/>
      <c r="DJ240" s="8"/>
      <c r="DK240" s="8"/>
      <c r="DL240" s="8"/>
    </row>
    <row r="241" spans="98:116" ht="15.75" x14ac:dyDescent="0.3">
      <c r="CT241" s="13"/>
      <c r="CU241" s="5"/>
      <c r="CV241" s="5"/>
      <c r="CW241" s="5"/>
      <c r="CX241" s="5"/>
      <c r="CY241" s="5"/>
      <c r="CZ241" s="5"/>
      <c r="DC241" s="12"/>
      <c r="DD241" s="12"/>
      <c r="DF241" s="8"/>
      <c r="DG241" s="8"/>
      <c r="DH241" s="8"/>
      <c r="DI241" s="8"/>
      <c r="DJ241" s="8"/>
      <c r="DK241" s="8"/>
      <c r="DL241" s="8"/>
    </row>
    <row r="242" spans="98:116" ht="15.75" x14ac:dyDescent="0.3">
      <c r="CT242" s="13"/>
      <c r="CU242" s="5"/>
      <c r="CV242" s="5"/>
      <c r="CW242" s="5"/>
      <c r="CX242" s="5"/>
      <c r="CY242" s="5"/>
      <c r="CZ242" s="5"/>
      <c r="DC242" s="12"/>
      <c r="DD242" s="12"/>
      <c r="DF242" s="8"/>
      <c r="DG242" s="8"/>
      <c r="DH242" s="8"/>
      <c r="DI242" s="8"/>
      <c r="DJ242" s="8"/>
      <c r="DK242" s="8"/>
      <c r="DL242" s="8"/>
    </row>
    <row r="243" spans="98:116" ht="15.75" x14ac:dyDescent="0.3">
      <c r="CT243" s="13"/>
      <c r="CU243" s="5"/>
      <c r="CV243" s="5"/>
      <c r="CW243" s="5"/>
      <c r="CX243" s="5"/>
      <c r="CY243" s="5"/>
      <c r="CZ243" s="5"/>
      <c r="DC243" s="12"/>
      <c r="DD243" s="12"/>
      <c r="DF243" s="8"/>
      <c r="DG243" s="8"/>
      <c r="DH243" s="8"/>
      <c r="DI243" s="8"/>
      <c r="DJ243" s="8"/>
      <c r="DK243" s="8"/>
      <c r="DL243" s="8"/>
    </row>
    <row r="244" spans="98:116" ht="15.75" x14ac:dyDescent="0.3">
      <c r="CT244" s="13"/>
      <c r="CU244" s="5"/>
      <c r="CV244" s="5"/>
      <c r="CW244" s="5"/>
      <c r="CX244" s="5"/>
      <c r="CY244" s="5"/>
      <c r="CZ244" s="5"/>
      <c r="DC244" s="12"/>
      <c r="DD244" s="12"/>
      <c r="DF244" s="8"/>
      <c r="DG244" s="8"/>
      <c r="DH244" s="8"/>
      <c r="DI244" s="8"/>
      <c r="DJ244" s="8"/>
      <c r="DK244" s="8"/>
      <c r="DL244" s="8"/>
    </row>
    <row r="245" spans="98:116" x14ac:dyDescent="0.25">
      <c r="CT245" s="16"/>
      <c r="CU245" s="5"/>
      <c r="CV245" s="5"/>
      <c r="CW245" s="5"/>
      <c r="CX245" s="5"/>
      <c r="CY245" s="5"/>
      <c r="CZ245" s="5"/>
      <c r="DC245" s="12"/>
      <c r="DD245" s="12"/>
      <c r="DF245" s="8"/>
      <c r="DG245" s="8"/>
      <c r="DH245" s="8"/>
      <c r="DI245" s="8"/>
      <c r="DJ245" s="8"/>
      <c r="DK245" s="8"/>
      <c r="DL245" s="8"/>
    </row>
    <row r="246" spans="98:116" x14ac:dyDescent="0.25">
      <c r="CT246" s="16"/>
      <c r="CU246" s="5"/>
      <c r="CV246" s="5"/>
      <c r="CW246" s="5"/>
      <c r="CX246" s="5"/>
      <c r="CY246" s="5"/>
      <c r="CZ246" s="5"/>
      <c r="DC246" s="12"/>
      <c r="DD246" s="12"/>
      <c r="DF246" s="8"/>
      <c r="DG246" s="8"/>
      <c r="DH246" s="8"/>
      <c r="DI246" s="8"/>
      <c r="DJ246" s="8"/>
      <c r="DK246" s="8"/>
      <c r="DL246" s="8"/>
    </row>
    <row r="247" spans="98:116" ht="15.75" x14ac:dyDescent="0.3">
      <c r="CT247" s="13"/>
      <c r="CU247" s="5"/>
      <c r="CV247" s="5"/>
      <c r="CW247" s="5"/>
      <c r="CX247" s="5"/>
      <c r="CY247" s="5"/>
      <c r="CZ247" s="5"/>
      <c r="DC247" s="12"/>
      <c r="DD247" s="12"/>
      <c r="DF247" s="8"/>
      <c r="DG247" s="8"/>
      <c r="DH247" s="8"/>
      <c r="DI247" s="8"/>
      <c r="DJ247" s="8"/>
      <c r="DK247" s="8"/>
      <c r="DL247" s="8"/>
    </row>
    <row r="248" spans="98:116" x14ac:dyDescent="0.25">
      <c r="CU248" s="5"/>
      <c r="CV248" s="5"/>
      <c r="CW248" s="5"/>
      <c r="CX248" s="5"/>
      <c r="CY248" s="5"/>
      <c r="CZ248" s="5"/>
      <c r="DC248" s="12"/>
      <c r="DD248" s="12"/>
      <c r="DF248" s="8"/>
      <c r="DG248" s="8"/>
      <c r="DH248" s="8"/>
      <c r="DI248" s="8"/>
      <c r="DJ248" s="8"/>
      <c r="DK248" s="8"/>
      <c r="DL248" s="8"/>
    </row>
    <row r="249" spans="98:116" ht="15.75" x14ac:dyDescent="0.3">
      <c r="CT249" s="13"/>
      <c r="CU249" s="5"/>
      <c r="CV249" s="5"/>
      <c r="CW249" s="5"/>
      <c r="CX249" s="5"/>
      <c r="CY249" s="5"/>
      <c r="CZ249" s="5"/>
      <c r="DC249" s="12"/>
      <c r="DD249" s="12"/>
      <c r="DF249" s="8"/>
      <c r="DG249" s="8"/>
      <c r="DH249" s="8"/>
      <c r="DI249" s="8"/>
      <c r="DJ249" s="8"/>
      <c r="DK249" s="8"/>
      <c r="DL249" s="8"/>
    </row>
    <row r="250" spans="98:116" ht="15.75" x14ac:dyDescent="0.3">
      <c r="CT250" s="13"/>
      <c r="CU250" s="5"/>
      <c r="CV250" s="5"/>
      <c r="CW250" s="5"/>
      <c r="CX250" s="5"/>
      <c r="CY250" s="5"/>
      <c r="CZ250" s="5"/>
      <c r="DC250" s="12"/>
      <c r="DD250" s="12"/>
      <c r="DF250" s="8"/>
      <c r="DG250" s="8"/>
      <c r="DH250" s="8"/>
      <c r="DI250" s="8"/>
      <c r="DJ250" s="8"/>
      <c r="DK250" s="8"/>
      <c r="DL250" s="8"/>
    </row>
    <row r="251" spans="98:116" ht="15.75" x14ac:dyDescent="0.3">
      <c r="CT251" s="13"/>
      <c r="CU251" s="5"/>
      <c r="CV251" s="5"/>
      <c r="CW251" s="5"/>
      <c r="CX251" s="5"/>
      <c r="CY251" s="5"/>
      <c r="CZ251" s="5"/>
      <c r="DC251" s="12"/>
      <c r="DD251" s="12"/>
      <c r="DF251" s="8"/>
      <c r="DG251" s="8"/>
      <c r="DH251" s="8"/>
      <c r="DI251" s="8"/>
      <c r="DJ251" s="8"/>
      <c r="DK251" s="8"/>
      <c r="DL251" s="8"/>
    </row>
    <row r="252" spans="98:116" ht="15.75" x14ac:dyDescent="0.3">
      <c r="CT252" s="13"/>
      <c r="CU252" s="5"/>
      <c r="CV252" s="5"/>
      <c r="CW252" s="5"/>
      <c r="CX252" s="5"/>
      <c r="CY252" s="5"/>
      <c r="CZ252" s="5"/>
      <c r="DC252" s="12"/>
      <c r="DD252" s="12"/>
      <c r="DF252" s="8"/>
      <c r="DG252" s="8"/>
      <c r="DH252" s="8"/>
      <c r="DI252" s="8"/>
      <c r="DJ252" s="8"/>
      <c r="DK252" s="8"/>
      <c r="DL252" s="8"/>
    </row>
    <row r="253" spans="98:116" ht="15.75" x14ac:dyDescent="0.3">
      <c r="CT253" s="13"/>
      <c r="CU253" s="5"/>
      <c r="CV253" s="5"/>
      <c r="CW253" s="5"/>
      <c r="CX253" s="5"/>
      <c r="CY253" s="5"/>
      <c r="CZ253" s="5"/>
      <c r="DC253" s="12"/>
      <c r="DD253" s="12"/>
      <c r="DF253" s="8"/>
      <c r="DG253" s="8"/>
      <c r="DH253" s="8"/>
      <c r="DI253" s="8"/>
      <c r="DJ253" s="8"/>
      <c r="DK253" s="8"/>
      <c r="DL253" s="8"/>
    </row>
    <row r="254" spans="98:116" ht="15.75" x14ac:dyDescent="0.3">
      <c r="CT254" s="13"/>
      <c r="CU254" s="5"/>
      <c r="CV254" s="5"/>
      <c r="CW254" s="5"/>
      <c r="CX254" s="5"/>
      <c r="CY254" s="5"/>
      <c r="CZ254" s="5"/>
      <c r="DC254" s="12"/>
      <c r="DD254" s="12"/>
      <c r="DF254" s="8"/>
      <c r="DG254" s="8"/>
      <c r="DH254" s="8"/>
      <c r="DI254" s="8"/>
      <c r="DJ254" s="8"/>
      <c r="DK254" s="8"/>
      <c r="DL254" s="8"/>
    </row>
    <row r="255" spans="98:116" ht="15.75" x14ac:dyDescent="0.3">
      <c r="CT255" s="13"/>
      <c r="CU255" s="5"/>
      <c r="CV255" s="5"/>
      <c r="CW255" s="5"/>
      <c r="CX255" s="5"/>
      <c r="CY255" s="5"/>
      <c r="CZ255" s="5"/>
      <c r="DC255" s="12"/>
      <c r="DD255" s="12"/>
      <c r="DF255" s="8"/>
      <c r="DG255" s="8"/>
      <c r="DH255" s="8"/>
      <c r="DI255" s="8"/>
      <c r="DJ255" s="8"/>
      <c r="DK255" s="8"/>
      <c r="DL255" s="8"/>
    </row>
    <row r="256" spans="98:116" ht="15.75" x14ac:dyDescent="0.3">
      <c r="CT256" s="13"/>
      <c r="CU256" s="5"/>
      <c r="CV256" s="5"/>
      <c r="CW256" s="5"/>
      <c r="CX256" s="5"/>
      <c r="CY256" s="5"/>
      <c r="CZ256" s="5"/>
      <c r="DC256" s="12"/>
      <c r="DD256" s="12"/>
      <c r="DF256" s="8"/>
      <c r="DG256" s="8"/>
      <c r="DH256" s="8"/>
      <c r="DI256" s="8"/>
      <c r="DJ256" s="8"/>
      <c r="DK256" s="8"/>
      <c r="DL256" s="8"/>
    </row>
    <row r="257" spans="98:116" ht="15.75" x14ac:dyDescent="0.3">
      <c r="CT257" s="13"/>
      <c r="CU257" s="5"/>
      <c r="CV257" s="5"/>
      <c r="CW257" s="5"/>
      <c r="CX257" s="5"/>
      <c r="CY257" s="5"/>
      <c r="CZ257" s="5"/>
      <c r="DC257" s="12"/>
      <c r="DD257" s="12"/>
      <c r="DF257" s="8"/>
      <c r="DG257" s="8"/>
      <c r="DH257" s="8"/>
      <c r="DI257" s="8"/>
      <c r="DJ257" s="8"/>
      <c r="DK257" s="8"/>
      <c r="DL257" s="8"/>
    </row>
    <row r="258" spans="98:116" ht="15.75" x14ac:dyDescent="0.3">
      <c r="CT258" s="13"/>
      <c r="CU258" s="5"/>
      <c r="CV258" s="5"/>
      <c r="CW258" s="5"/>
      <c r="CX258" s="5"/>
      <c r="CY258" s="5"/>
      <c r="CZ258" s="5"/>
      <c r="DC258" s="12"/>
      <c r="DD258" s="12"/>
      <c r="DF258" s="8"/>
      <c r="DG258" s="8"/>
      <c r="DH258" s="8"/>
      <c r="DI258" s="8"/>
      <c r="DJ258" s="8"/>
      <c r="DK258" s="8"/>
      <c r="DL258" s="8"/>
    </row>
    <row r="259" spans="98:116" ht="15.75" x14ac:dyDescent="0.3">
      <c r="CT259" s="13"/>
      <c r="CU259" s="5"/>
      <c r="CV259" s="5"/>
      <c r="CW259" s="5"/>
      <c r="CX259" s="5"/>
      <c r="CY259" s="5"/>
      <c r="CZ259" s="5"/>
      <c r="DC259" s="12"/>
      <c r="DD259" s="12"/>
      <c r="DF259" s="8"/>
      <c r="DG259" s="8"/>
      <c r="DH259" s="8"/>
      <c r="DI259" s="8"/>
      <c r="DJ259" s="8"/>
      <c r="DK259" s="8"/>
      <c r="DL259" s="8"/>
    </row>
    <row r="260" spans="98:116" ht="15.75" x14ac:dyDescent="0.3">
      <c r="CT260" s="13"/>
      <c r="CU260" s="5"/>
      <c r="CV260" s="5"/>
      <c r="CW260" s="5"/>
      <c r="CX260" s="5"/>
      <c r="CY260" s="5"/>
      <c r="CZ260" s="5"/>
      <c r="DC260" s="12"/>
      <c r="DD260" s="12"/>
      <c r="DF260" s="8"/>
      <c r="DG260" s="8"/>
      <c r="DH260" s="8"/>
      <c r="DI260" s="8"/>
      <c r="DJ260" s="8"/>
      <c r="DK260" s="8"/>
      <c r="DL260" s="8"/>
    </row>
    <row r="261" spans="98:116" ht="15.75" x14ac:dyDescent="0.3">
      <c r="CT261" s="13"/>
      <c r="CU261" s="5"/>
      <c r="CV261" s="5"/>
      <c r="CW261" s="5"/>
      <c r="CX261" s="5"/>
      <c r="CY261" s="5"/>
      <c r="CZ261" s="5"/>
      <c r="DC261" s="12"/>
      <c r="DD261" s="12"/>
      <c r="DF261" s="8"/>
      <c r="DG261" s="8"/>
      <c r="DH261" s="8"/>
      <c r="DI261" s="8"/>
      <c r="DJ261" s="8"/>
      <c r="DK261" s="8"/>
      <c r="DL261" s="8"/>
    </row>
    <row r="262" spans="98:116" ht="15.75" x14ac:dyDescent="0.3">
      <c r="CT262" s="13"/>
      <c r="CU262" s="5"/>
      <c r="CV262" s="5"/>
      <c r="CW262" s="5"/>
      <c r="CX262" s="5"/>
      <c r="CY262" s="5"/>
      <c r="CZ262" s="5"/>
      <c r="DC262" s="12"/>
      <c r="DD262" s="12"/>
      <c r="DF262" s="8"/>
      <c r="DG262" s="8"/>
      <c r="DH262" s="8"/>
      <c r="DI262" s="8"/>
      <c r="DJ262" s="8"/>
      <c r="DK262" s="8"/>
      <c r="DL262" s="8"/>
    </row>
    <row r="263" spans="98:116" ht="15.75" x14ac:dyDescent="0.3">
      <c r="CT263" s="13"/>
      <c r="CU263" s="5"/>
      <c r="CV263" s="5"/>
      <c r="CW263" s="5"/>
      <c r="CX263" s="5"/>
      <c r="CY263" s="5"/>
      <c r="CZ263" s="5"/>
      <c r="DC263" s="12"/>
      <c r="DD263" s="12"/>
      <c r="DF263" s="8"/>
      <c r="DG263" s="8"/>
      <c r="DH263" s="8"/>
      <c r="DI263" s="8"/>
      <c r="DJ263" s="8"/>
      <c r="DK263" s="8"/>
      <c r="DL263" s="8"/>
    </row>
    <row r="264" spans="98:116" x14ac:dyDescent="0.25">
      <c r="CU264" s="5"/>
      <c r="CV264" s="5"/>
      <c r="CW264" s="5"/>
      <c r="CX264" s="5"/>
      <c r="CY264" s="5"/>
      <c r="CZ264" s="5"/>
      <c r="DC264" s="12"/>
      <c r="DD264" s="12"/>
      <c r="DF264" s="8"/>
      <c r="DG264" s="8"/>
      <c r="DH264" s="8"/>
      <c r="DI264" s="8"/>
      <c r="DJ264" s="8"/>
      <c r="DK264" s="8"/>
      <c r="DL264" s="8"/>
    </row>
    <row r="265" spans="98:116" ht="15.75" x14ac:dyDescent="0.3">
      <c r="CT265" s="13"/>
      <c r="CU265" s="5"/>
      <c r="CV265" s="5"/>
      <c r="CW265" s="5"/>
      <c r="CX265" s="5"/>
      <c r="CY265" s="5"/>
      <c r="CZ265" s="5"/>
      <c r="DC265" s="12"/>
      <c r="DD265" s="12"/>
      <c r="DF265" s="8"/>
      <c r="DG265" s="8"/>
      <c r="DH265" s="8"/>
      <c r="DI265" s="8"/>
      <c r="DJ265" s="8"/>
      <c r="DK265" s="8"/>
      <c r="DL265" s="8"/>
    </row>
    <row r="266" spans="98:116" ht="15.75" x14ac:dyDescent="0.3">
      <c r="CT266" s="13"/>
      <c r="CU266" s="5"/>
      <c r="CV266" s="5"/>
      <c r="CW266" s="5"/>
      <c r="CX266" s="5"/>
      <c r="CY266" s="5"/>
      <c r="CZ266" s="5"/>
      <c r="DC266" s="12"/>
      <c r="DD266" s="12"/>
      <c r="DF266" s="8"/>
      <c r="DG266" s="8"/>
      <c r="DH266" s="8"/>
      <c r="DI266" s="8"/>
      <c r="DJ266" s="8"/>
      <c r="DK266" s="8"/>
      <c r="DL266" s="8"/>
    </row>
    <row r="267" spans="98:116" ht="15.75" x14ac:dyDescent="0.3">
      <c r="CT267" s="13"/>
      <c r="CU267" s="5"/>
      <c r="CV267" s="5"/>
      <c r="CW267" s="5"/>
      <c r="CX267" s="5"/>
      <c r="CY267" s="5"/>
      <c r="CZ267" s="5"/>
      <c r="DC267" s="12"/>
      <c r="DD267" s="12"/>
      <c r="DF267" s="8"/>
      <c r="DG267" s="8"/>
      <c r="DH267" s="8"/>
      <c r="DI267" s="8"/>
      <c r="DJ267" s="8"/>
      <c r="DK267" s="8"/>
      <c r="DL267" s="8"/>
    </row>
    <row r="268" spans="98:116" ht="15.75" x14ac:dyDescent="0.3">
      <c r="CT268" s="13"/>
      <c r="CU268" s="5"/>
      <c r="CV268" s="5"/>
      <c r="CW268" s="5"/>
      <c r="CX268" s="5"/>
      <c r="CY268" s="5"/>
      <c r="CZ268" s="5"/>
      <c r="DC268" s="12"/>
      <c r="DD268" s="12"/>
      <c r="DF268" s="8"/>
      <c r="DG268" s="8"/>
      <c r="DH268" s="8"/>
      <c r="DI268" s="8"/>
      <c r="DJ268" s="8"/>
      <c r="DK268" s="8"/>
      <c r="DL268" s="8"/>
    </row>
    <row r="269" spans="98:116" ht="15.75" x14ac:dyDescent="0.3">
      <c r="CT269" s="13"/>
      <c r="CU269" s="5"/>
      <c r="CV269" s="5"/>
      <c r="CW269" s="5"/>
      <c r="CX269" s="5"/>
      <c r="CY269" s="5"/>
      <c r="CZ269" s="5"/>
      <c r="DC269" s="12"/>
      <c r="DD269" s="12"/>
      <c r="DF269" s="8"/>
      <c r="DG269" s="8"/>
      <c r="DH269" s="8"/>
      <c r="DI269" s="8"/>
      <c r="DJ269" s="8"/>
      <c r="DK269" s="8"/>
      <c r="DL269" s="8"/>
    </row>
    <row r="270" spans="98:116" ht="15.75" x14ac:dyDescent="0.3">
      <c r="CT270" s="13"/>
      <c r="CU270" s="5"/>
      <c r="CV270" s="5"/>
      <c r="CW270" s="5"/>
      <c r="CX270" s="5"/>
      <c r="CY270" s="5"/>
      <c r="CZ270" s="5"/>
      <c r="DC270" s="12"/>
      <c r="DD270" s="12"/>
      <c r="DF270" s="8"/>
      <c r="DG270" s="8"/>
      <c r="DH270" s="8"/>
      <c r="DI270" s="8"/>
      <c r="DJ270" s="8"/>
      <c r="DK270" s="8"/>
      <c r="DL270" s="8"/>
    </row>
    <row r="271" spans="98:116" ht="15.75" x14ac:dyDescent="0.3">
      <c r="CT271" s="13"/>
      <c r="CU271" s="5"/>
      <c r="CV271" s="5"/>
      <c r="CW271" s="5"/>
      <c r="CX271" s="5"/>
      <c r="CY271" s="5"/>
      <c r="CZ271" s="5"/>
      <c r="DC271" s="12"/>
      <c r="DD271" s="12"/>
      <c r="DF271" s="8"/>
      <c r="DG271" s="8"/>
      <c r="DH271" s="8"/>
      <c r="DI271" s="8"/>
      <c r="DJ271" s="8"/>
      <c r="DK271" s="8"/>
      <c r="DL271" s="8"/>
    </row>
    <row r="272" spans="98:116" ht="15.75" x14ac:dyDescent="0.3">
      <c r="CT272" s="13"/>
      <c r="CU272" s="5"/>
      <c r="CV272" s="5"/>
      <c r="CW272" s="5"/>
      <c r="CX272" s="5"/>
      <c r="CY272" s="5"/>
      <c r="CZ272" s="5"/>
      <c r="DC272" s="12"/>
      <c r="DD272" s="12"/>
      <c r="DF272" s="8"/>
      <c r="DG272" s="8"/>
      <c r="DH272" s="8"/>
      <c r="DI272" s="8"/>
      <c r="DJ272" s="8"/>
      <c r="DK272" s="8"/>
      <c r="DL272" s="8"/>
    </row>
    <row r="273" spans="98:122" ht="15.75" x14ac:dyDescent="0.3">
      <c r="CT273" s="13"/>
      <c r="CU273" s="5"/>
      <c r="CV273" s="5"/>
      <c r="CW273" s="5"/>
      <c r="CX273" s="5"/>
      <c r="CY273" s="5"/>
      <c r="CZ273" s="5"/>
      <c r="DC273" s="12"/>
      <c r="DD273" s="12"/>
      <c r="DF273" s="8"/>
      <c r="DG273" s="8"/>
      <c r="DH273" s="8"/>
      <c r="DI273" s="8"/>
      <c r="DJ273" s="8"/>
      <c r="DK273" s="8"/>
      <c r="DL273" s="8"/>
    </row>
    <row r="274" spans="98:122" ht="15.75" x14ac:dyDescent="0.3">
      <c r="CT274" s="13"/>
      <c r="CU274" s="5"/>
      <c r="CV274" s="5"/>
      <c r="CW274" s="5"/>
      <c r="CX274" s="5"/>
      <c r="CY274" s="5"/>
      <c r="CZ274" s="5"/>
      <c r="DC274" s="12"/>
      <c r="DD274" s="12"/>
      <c r="DF274" s="8"/>
      <c r="DG274" s="8"/>
      <c r="DH274" s="8"/>
      <c r="DI274" s="8"/>
      <c r="DJ274" s="8"/>
      <c r="DK274" s="8"/>
      <c r="DL274" s="8"/>
    </row>
    <row r="275" spans="98:122" ht="15.75" x14ac:dyDescent="0.3">
      <c r="CT275" s="13"/>
      <c r="CU275" s="3"/>
      <c r="CV275" s="3"/>
      <c r="CW275" s="3"/>
      <c r="CX275" s="3"/>
      <c r="CY275" s="3"/>
      <c r="CZ275" s="3"/>
      <c r="DC275" s="12"/>
      <c r="DD275" s="12"/>
      <c r="DF275" s="8"/>
      <c r="DG275" s="8"/>
      <c r="DH275" s="8"/>
      <c r="DI275" s="8"/>
      <c r="DJ275" s="8"/>
      <c r="DK275" s="8"/>
      <c r="DL275" s="8"/>
    </row>
    <row r="276" spans="98:122" ht="15.75" x14ac:dyDescent="0.3">
      <c r="CT276" s="13"/>
      <c r="CU276" s="5"/>
      <c r="CV276" s="5"/>
      <c r="CW276" s="5"/>
      <c r="CX276" s="5"/>
      <c r="CY276" s="5"/>
      <c r="CZ276" s="5"/>
      <c r="DC276" s="12"/>
      <c r="DD276" s="12"/>
      <c r="DF276" s="8"/>
      <c r="DG276" s="8"/>
      <c r="DH276" s="8"/>
      <c r="DI276" s="8"/>
      <c r="DJ276" s="8"/>
      <c r="DK276" s="8"/>
      <c r="DL276" s="8"/>
    </row>
    <row r="277" spans="98:122" ht="15.75" x14ac:dyDescent="0.3">
      <c r="CT277" s="13"/>
      <c r="CU277" s="5"/>
      <c r="CV277" s="5"/>
      <c r="CW277" s="5"/>
      <c r="CX277" s="5"/>
      <c r="CY277" s="5"/>
      <c r="CZ277" s="5"/>
      <c r="DC277" s="12"/>
      <c r="DD277" s="12"/>
      <c r="DF277" s="8"/>
      <c r="DG277" s="8"/>
      <c r="DH277" s="8"/>
      <c r="DI277" s="8"/>
      <c r="DJ277" s="8"/>
      <c r="DK277" s="8"/>
      <c r="DL277" s="8"/>
    </row>
    <row r="278" spans="98:122" x14ac:dyDescent="0.25">
      <c r="CT278" s="16"/>
      <c r="CU278" s="5"/>
      <c r="CV278" s="5"/>
      <c r="CW278" s="5"/>
      <c r="CX278" s="5"/>
      <c r="CY278" s="5"/>
      <c r="CZ278" s="5"/>
      <c r="DC278" s="12"/>
      <c r="DD278" s="12"/>
      <c r="DF278" s="8"/>
      <c r="DG278" s="8"/>
      <c r="DH278" s="8"/>
      <c r="DI278" s="8"/>
      <c r="DJ278" s="8"/>
      <c r="DK278" s="8"/>
      <c r="DL278" s="8"/>
    </row>
    <row r="279" spans="98:122" ht="15.75" x14ac:dyDescent="0.3">
      <c r="CT279" s="13"/>
      <c r="CU279" s="5"/>
      <c r="CV279" s="5"/>
      <c r="CW279" s="5"/>
      <c r="CX279" s="5"/>
      <c r="CY279" s="5"/>
      <c r="CZ279" s="5"/>
      <c r="DC279" s="12"/>
      <c r="DD279" s="12"/>
      <c r="DF279" s="8"/>
      <c r="DG279" s="8"/>
      <c r="DH279" s="8"/>
      <c r="DI279" s="8"/>
      <c r="DJ279" s="8"/>
      <c r="DK279" s="8"/>
      <c r="DL279" s="8"/>
    </row>
    <row r="280" spans="98:122" ht="23.25" x14ac:dyDescent="0.35">
      <c r="CT280" s="13"/>
      <c r="CU280" s="5"/>
      <c r="CV280" s="5"/>
      <c r="CW280" s="5"/>
      <c r="CX280" s="5"/>
      <c r="CY280" s="5"/>
      <c r="CZ280" s="5"/>
      <c r="DC280" s="12"/>
      <c r="DD280" s="12"/>
      <c r="DF280" s="8"/>
      <c r="DG280" s="8"/>
      <c r="DH280" s="8"/>
      <c r="DI280" s="8"/>
      <c r="DJ280" s="8"/>
      <c r="DK280" s="8"/>
      <c r="DL280" s="8"/>
      <c r="DR280" s="18"/>
    </row>
    <row r="281" spans="98:122" ht="15.75" x14ac:dyDescent="0.3">
      <c r="CT281" s="16"/>
      <c r="CU281" s="5"/>
      <c r="CV281" s="5"/>
      <c r="CW281" s="5"/>
      <c r="CX281" s="5"/>
      <c r="CY281" s="5"/>
      <c r="CZ281" s="5"/>
      <c r="DC281" s="12"/>
      <c r="DD281" s="12"/>
      <c r="DF281" s="8"/>
      <c r="DG281" s="8"/>
      <c r="DH281" s="8"/>
      <c r="DI281" s="8"/>
      <c r="DJ281" s="8"/>
      <c r="DK281" s="8"/>
      <c r="DL281" s="8"/>
      <c r="DM281" s="5"/>
      <c r="DN281" s="5"/>
      <c r="DR281" s="15"/>
    </row>
    <row r="282" spans="98:122" ht="15.75" x14ac:dyDescent="0.3">
      <c r="CT282" s="13"/>
      <c r="CU282" s="5"/>
      <c r="CV282" s="5"/>
      <c r="CW282" s="5"/>
      <c r="CX282" s="5"/>
      <c r="CY282" s="5"/>
      <c r="CZ282" s="5"/>
      <c r="DC282" s="12"/>
      <c r="DD282" s="12"/>
      <c r="DF282" s="8"/>
      <c r="DG282" s="8"/>
      <c r="DH282" s="8"/>
      <c r="DI282" s="8"/>
      <c r="DJ282" s="8"/>
      <c r="DK282" s="8"/>
      <c r="DL282" s="8"/>
    </row>
    <row r="283" spans="98:122" ht="15.75" x14ac:dyDescent="0.3">
      <c r="CT283" s="13"/>
      <c r="CU283" s="5"/>
      <c r="CV283" s="5"/>
      <c r="CW283" s="5"/>
      <c r="CX283" s="5"/>
      <c r="CY283" s="5"/>
      <c r="CZ283" s="5"/>
      <c r="DC283" s="12"/>
      <c r="DD283" s="12"/>
      <c r="DF283" s="8"/>
      <c r="DG283" s="8"/>
      <c r="DH283" s="8"/>
      <c r="DI283" s="8"/>
      <c r="DJ283" s="8"/>
      <c r="DK283" s="8"/>
      <c r="DL283" s="8"/>
    </row>
    <row r="284" spans="98:122" ht="15.75" x14ac:dyDescent="0.3">
      <c r="CT284" s="13"/>
      <c r="CU284" s="5"/>
      <c r="CV284" s="5"/>
      <c r="CW284" s="5"/>
      <c r="CX284" s="5"/>
      <c r="CY284" s="5"/>
      <c r="CZ284" s="5"/>
      <c r="DC284" s="12"/>
      <c r="DD284" s="12"/>
      <c r="DF284" s="8"/>
      <c r="DG284" s="8"/>
      <c r="DH284" s="8"/>
      <c r="DI284" s="8"/>
      <c r="DJ284" s="8"/>
      <c r="DK284" s="8"/>
      <c r="DL284" s="8"/>
    </row>
    <row r="285" spans="98:122" ht="15.75" x14ac:dyDescent="0.3">
      <c r="CT285" s="13"/>
      <c r="CU285" s="5"/>
      <c r="CV285" s="5"/>
      <c r="CW285" s="5"/>
      <c r="CX285" s="5"/>
      <c r="CY285" s="5"/>
      <c r="CZ285" s="5"/>
      <c r="DC285" s="12"/>
      <c r="DD285" s="12"/>
      <c r="DF285" s="8"/>
      <c r="DG285" s="8"/>
      <c r="DH285" s="8"/>
      <c r="DI285" s="8"/>
      <c r="DJ285" s="8"/>
      <c r="DK285" s="8"/>
      <c r="DL285" s="8"/>
    </row>
    <row r="286" spans="98:122" ht="15.75" x14ac:dyDescent="0.3">
      <c r="CT286" s="13"/>
      <c r="CU286" s="5"/>
      <c r="CV286" s="5"/>
      <c r="CW286" s="5"/>
      <c r="CX286" s="5"/>
      <c r="CY286" s="5"/>
      <c r="CZ286" s="5"/>
      <c r="DC286" s="12"/>
      <c r="DD286" s="12"/>
      <c r="DF286" s="8"/>
      <c r="DG286" s="8"/>
      <c r="DH286" s="8"/>
      <c r="DI286" s="8"/>
      <c r="DJ286" s="8"/>
      <c r="DK286" s="8"/>
      <c r="DL286" s="8"/>
    </row>
    <row r="287" spans="98:122" ht="15.75" x14ac:dyDescent="0.3">
      <c r="CT287" s="13"/>
      <c r="CU287" s="5"/>
      <c r="CV287" s="5"/>
      <c r="CW287" s="5"/>
      <c r="CX287" s="5"/>
      <c r="CY287" s="5"/>
      <c r="CZ287" s="5"/>
      <c r="DC287" s="12"/>
      <c r="DD287" s="12"/>
      <c r="DF287" s="8"/>
      <c r="DG287" s="8"/>
      <c r="DH287" s="8"/>
      <c r="DI287" s="8"/>
      <c r="DJ287" s="8"/>
      <c r="DK287" s="8"/>
      <c r="DL287" s="8"/>
    </row>
    <row r="288" spans="98:122" ht="15.75" x14ac:dyDescent="0.3">
      <c r="CT288" s="13"/>
      <c r="CU288" s="5"/>
      <c r="CV288" s="5"/>
      <c r="CW288" s="5"/>
      <c r="CX288" s="5"/>
      <c r="CY288" s="5"/>
      <c r="CZ288" s="5"/>
      <c r="DC288" s="12"/>
      <c r="DD288" s="12"/>
      <c r="DF288" s="8"/>
      <c r="DG288" s="8"/>
      <c r="DH288" s="8"/>
      <c r="DI288" s="8"/>
      <c r="DJ288" s="8"/>
      <c r="DK288" s="8"/>
      <c r="DL288" s="8"/>
    </row>
    <row r="289" spans="98:123" ht="15.75" x14ac:dyDescent="0.3">
      <c r="CT289" s="13"/>
      <c r="CU289" s="5"/>
      <c r="CV289" s="5"/>
      <c r="CW289" s="5"/>
      <c r="CX289" s="5"/>
      <c r="CY289" s="5"/>
      <c r="CZ289" s="5"/>
      <c r="DC289" s="12"/>
      <c r="DD289" s="12"/>
      <c r="DF289" s="8"/>
      <c r="DG289" s="8"/>
      <c r="DH289" s="8"/>
      <c r="DI289" s="8"/>
      <c r="DJ289" s="8"/>
      <c r="DK289" s="8"/>
      <c r="DL289" s="8"/>
    </row>
    <row r="290" spans="98:123" ht="15.75" x14ac:dyDescent="0.3">
      <c r="CT290" s="13"/>
      <c r="CU290" s="5"/>
      <c r="CV290" s="5"/>
      <c r="CW290" s="5"/>
      <c r="CX290" s="5"/>
      <c r="CY290" s="5"/>
      <c r="CZ290" s="5"/>
      <c r="DC290" s="12"/>
      <c r="DD290" s="12"/>
      <c r="DF290" s="8"/>
      <c r="DG290" s="8"/>
      <c r="DH290" s="8"/>
      <c r="DI290" s="8"/>
      <c r="DJ290" s="8"/>
      <c r="DK290" s="8"/>
      <c r="DL290" s="8"/>
    </row>
    <row r="291" spans="98:123" ht="15.75" x14ac:dyDescent="0.3">
      <c r="CT291" s="13"/>
      <c r="CU291" s="5"/>
      <c r="CV291" s="5"/>
      <c r="CW291" s="5"/>
      <c r="CX291" s="5"/>
      <c r="CY291" s="5"/>
      <c r="CZ291" s="5"/>
      <c r="DC291" s="12"/>
      <c r="DD291" s="12"/>
      <c r="DF291" s="8"/>
      <c r="DG291" s="8"/>
      <c r="DH291" s="8"/>
      <c r="DI291" s="8"/>
      <c r="DJ291" s="8"/>
      <c r="DK291" s="8"/>
      <c r="DL291" s="8"/>
    </row>
    <row r="292" spans="98:123" ht="15.75" x14ac:dyDescent="0.3">
      <c r="CT292" s="13"/>
      <c r="CU292" s="5"/>
      <c r="CV292" s="5"/>
      <c r="CW292" s="5"/>
      <c r="CX292" s="5"/>
      <c r="CY292" s="5"/>
      <c r="CZ292" s="5"/>
      <c r="DC292" s="12"/>
      <c r="DD292" s="12"/>
      <c r="DF292" s="8"/>
      <c r="DG292" s="8"/>
      <c r="DH292" s="8"/>
      <c r="DI292" s="8"/>
      <c r="DJ292" s="8"/>
      <c r="DK292" s="8"/>
      <c r="DL292" s="8"/>
      <c r="DS292" s="15"/>
    </row>
    <row r="293" spans="98:123" ht="15.75" x14ac:dyDescent="0.3">
      <c r="CT293" s="13"/>
      <c r="CU293" s="5"/>
      <c r="CV293" s="5"/>
      <c r="CW293" s="5"/>
      <c r="CX293" s="5"/>
      <c r="CY293" s="5"/>
      <c r="CZ293" s="5"/>
      <c r="DC293" s="12"/>
      <c r="DD293" s="12"/>
      <c r="DF293" s="8"/>
      <c r="DG293" s="8"/>
      <c r="DH293" s="8"/>
      <c r="DI293" s="8"/>
      <c r="DJ293" s="8"/>
      <c r="DK293" s="8"/>
      <c r="DL293" s="8"/>
      <c r="DS293" s="15"/>
    </row>
    <row r="294" spans="98:123" ht="15.75" x14ac:dyDescent="0.3">
      <c r="CT294" s="13"/>
      <c r="CU294" s="5"/>
      <c r="CV294" s="5"/>
      <c r="CW294" s="5"/>
      <c r="CX294" s="5"/>
      <c r="CY294" s="5"/>
      <c r="CZ294" s="5"/>
      <c r="DC294" s="12"/>
      <c r="DD294" s="12"/>
      <c r="DF294" s="8"/>
      <c r="DG294" s="8"/>
      <c r="DH294" s="8"/>
      <c r="DI294" s="8"/>
      <c r="DJ294" s="8"/>
      <c r="DK294" s="8"/>
      <c r="DL294" s="8"/>
    </row>
    <row r="295" spans="98:123" ht="15.75" x14ac:dyDescent="0.3">
      <c r="CT295" s="13"/>
      <c r="CU295" s="5"/>
      <c r="CV295" s="5"/>
      <c r="CW295" s="5"/>
      <c r="CX295" s="5"/>
      <c r="CY295" s="5"/>
      <c r="CZ295" s="5"/>
      <c r="DC295" s="12"/>
      <c r="DD295" s="12"/>
      <c r="DF295" s="8"/>
      <c r="DG295" s="8"/>
      <c r="DH295" s="8"/>
      <c r="DI295" s="8"/>
      <c r="DJ295" s="8"/>
      <c r="DK295" s="8"/>
      <c r="DL295" s="8"/>
    </row>
    <row r="296" spans="98:123" ht="15.75" x14ac:dyDescent="0.3">
      <c r="CT296" s="13"/>
      <c r="DC296" s="12"/>
      <c r="DD296" s="12"/>
      <c r="DF296" s="8"/>
      <c r="DG296" s="8"/>
      <c r="DH296" s="8"/>
      <c r="DI296" s="8"/>
      <c r="DJ296" s="8"/>
      <c r="DK296" s="8"/>
      <c r="DL296" s="8"/>
      <c r="DM296" s="8"/>
    </row>
    <row r="297" spans="98:123" ht="15.75" x14ac:dyDescent="0.3">
      <c r="CT297" s="13"/>
      <c r="CU297" s="15"/>
      <c r="CV297" s="5"/>
      <c r="CW297" s="5"/>
      <c r="CX297" s="5"/>
      <c r="CY297" s="5"/>
      <c r="CZ297" s="5"/>
      <c r="DC297" s="12"/>
      <c r="DD297" s="12"/>
      <c r="DF297" s="8"/>
      <c r="DG297" s="8"/>
      <c r="DH297" s="8"/>
      <c r="DI297" s="8"/>
      <c r="DJ297" s="8"/>
      <c r="DK297" s="8"/>
      <c r="DL297" s="8"/>
      <c r="DM297" s="8"/>
    </row>
    <row r="298" spans="98:123" ht="15.75" x14ac:dyDescent="0.3">
      <c r="CT298" s="13"/>
      <c r="CU298" s="5"/>
      <c r="CV298" s="5"/>
      <c r="CW298" s="5"/>
      <c r="CX298" s="5"/>
      <c r="CY298" s="5"/>
      <c r="CZ298" s="5"/>
      <c r="DC298" s="12"/>
      <c r="DD298" s="12"/>
      <c r="DF298" s="8"/>
      <c r="DG298" s="8"/>
      <c r="DH298" s="8"/>
      <c r="DI298" s="8"/>
      <c r="DJ298" s="8"/>
      <c r="DK298" s="8"/>
      <c r="DL298" s="8"/>
    </row>
    <row r="299" spans="98:123" ht="15.75" x14ac:dyDescent="0.3">
      <c r="CT299" s="13"/>
      <c r="CU299" s="5"/>
      <c r="CV299" s="5"/>
      <c r="CW299" s="5"/>
      <c r="CX299" s="5"/>
      <c r="CY299" s="5"/>
      <c r="CZ299" s="5"/>
      <c r="DC299" s="12"/>
      <c r="DD299" s="12"/>
      <c r="DF299" s="8"/>
      <c r="DG299" s="8"/>
      <c r="DH299" s="8"/>
      <c r="DI299" s="8"/>
      <c r="DJ299" s="8"/>
      <c r="DK299" s="8"/>
      <c r="DL299" s="8"/>
    </row>
    <row r="300" spans="98:123" ht="15.75" x14ac:dyDescent="0.3">
      <c r="CT300" s="13"/>
      <c r="CU300" s="5"/>
      <c r="CV300" s="5"/>
      <c r="CW300" s="5"/>
      <c r="CX300" s="5"/>
      <c r="CY300" s="5"/>
      <c r="CZ300" s="5"/>
      <c r="DC300" s="12"/>
      <c r="DD300" s="12"/>
      <c r="DF300" s="8"/>
      <c r="DG300" s="8"/>
      <c r="DH300" s="8"/>
      <c r="DI300" s="8"/>
      <c r="DJ300" s="8"/>
      <c r="DK300" s="8"/>
      <c r="DL300" s="8"/>
    </row>
    <row r="301" spans="98:123" ht="15.75" x14ac:dyDescent="0.3">
      <c r="CT301" s="13"/>
      <c r="CU301" s="5"/>
      <c r="CV301" s="5"/>
      <c r="CW301" s="5"/>
      <c r="CX301" s="5"/>
      <c r="CY301" s="5"/>
      <c r="CZ301" s="5"/>
      <c r="DC301" s="12"/>
      <c r="DD301" s="12"/>
      <c r="DF301" s="8"/>
      <c r="DG301" s="8"/>
      <c r="DH301" s="8"/>
      <c r="DI301" s="8"/>
      <c r="DJ301" s="8"/>
      <c r="DK301" s="8"/>
      <c r="DL301" s="8"/>
    </row>
    <row r="302" spans="98:123" ht="15.75" x14ac:dyDescent="0.3">
      <c r="CT302" s="13"/>
      <c r="CU302" s="5"/>
      <c r="CV302" s="5"/>
      <c r="CW302" s="5"/>
      <c r="CX302" s="5"/>
      <c r="CY302" s="5"/>
      <c r="CZ302" s="5"/>
      <c r="DC302" s="12"/>
      <c r="DD302" s="12"/>
      <c r="DF302" s="8"/>
      <c r="DG302" s="8"/>
      <c r="DH302" s="8"/>
      <c r="DI302" s="8"/>
      <c r="DJ302" s="8"/>
      <c r="DK302" s="8"/>
      <c r="DL302" s="8"/>
    </row>
    <row r="303" spans="98:123" ht="15.75" x14ac:dyDescent="0.3">
      <c r="CT303" s="13"/>
      <c r="CU303" s="5"/>
      <c r="CV303" s="5"/>
      <c r="CW303" s="5"/>
      <c r="CX303" s="5"/>
      <c r="CY303" s="5"/>
      <c r="CZ303" s="5"/>
      <c r="DC303" s="12"/>
      <c r="DD303" s="12"/>
      <c r="DE303" s="5"/>
      <c r="DF303" s="8"/>
      <c r="DG303" s="8"/>
      <c r="DH303" s="8"/>
      <c r="DI303" s="8"/>
      <c r="DJ303" s="8"/>
      <c r="DK303" s="8"/>
      <c r="DL303" s="8"/>
    </row>
    <row r="304" spans="98:123" ht="15.75" x14ac:dyDescent="0.3">
      <c r="CT304" s="13"/>
      <c r="CU304" s="15"/>
      <c r="CV304" s="5"/>
      <c r="CW304" s="5"/>
      <c r="CX304" s="5"/>
      <c r="CY304" s="5"/>
      <c r="CZ304" s="5"/>
      <c r="DC304" s="12"/>
      <c r="DD304" s="12"/>
      <c r="DE304" s="5"/>
      <c r="DF304" s="8"/>
      <c r="DG304" s="8"/>
      <c r="DH304" s="8"/>
      <c r="DI304" s="8"/>
      <c r="DJ304" s="8"/>
      <c r="DK304" s="8"/>
      <c r="DL304" s="8"/>
    </row>
    <row r="305" spans="94:116" ht="15.75" x14ac:dyDescent="0.3">
      <c r="CT305" s="13"/>
      <c r="CU305" s="15"/>
      <c r="CV305" s="5"/>
      <c r="CW305" s="5"/>
      <c r="CX305" s="5"/>
      <c r="CY305" s="5"/>
      <c r="CZ305" s="5"/>
      <c r="DC305" s="12"/>
      <c r="DD305" s="12"/>
      <c r="DE305" s="5"/>
      <c r="DF305" s="8"/>
      <c r="DG305" s="8"/>
      <c r="DH305" s="8"/>
      <c r="DI305" s="8"/>
      <c r="DJ305" s="8"/>
      <c r="DK305" s="8"/>
      <c r="DL305" s="8"/>
    </row>
    <row r="306" spans="94:116" x14ac:dyDescent="0.25">
      <c r="CU306" s="5"/>
      <c r="CV306" s="5"/>
      <c r="CW306" s="5"/>
      <c r="CX306" s="5"/>
      <c r="CY306" s="5"/>
      <c r="CZ306" s="5"/>
      <c r="DC306" s="12"/>
      <c r="DD306" s="12"/>
      <c r="DF306" s="8"/>
      <c r="DG306" s="8"/>
      <c r="DH306" s="8"/>
      <c r="DI306" s="8"/>
      <c r="DJ306" s="8"/>
      <c r="DK306" s="8"/>
      <c r="DL306" s="8"/>
    </row>
    <row r="307" spans="94:116" x14ac:dyDescent="0.25">
      <c r="CU307" s="5"/>
      <c r="CV307" s="5"/>
      <c r="CW307" s="5"/>
      <c r="CX307" s="5"/>
      <c r="CY307" s="5"/>
      <c r="CZ307" s="5"/>
      <c r="DC307" s="12"/>
      <c r="DD307" s="12"/>
      <c r="DG307" s="8"/>
      <c r="DH307" s="8"/>
      <c r="DI307" s="8"/>
      <c r="DJ307" s="8"/>
      <c r="DK307" s="8"/>
      <c r="DL307" s="8"/>
    </row>
    <row r="308" spans="94:116" x14ac:dyDescent="0.25">
      <c r="CU308" s="5"/>
      <c r="CV308" s="5"/>
      <c r="CW308" s="5"/>
      <c r="CX308" s="5"/>
      <c r="CY308" s="5"/>
      <c r="CZ308" s="5"/>
      <c r="DC308" s="12"/>
      <c r="DD308" s="12"/>
      <c r="DG308" s="8"/>
      <c r="DH308" s="8"/>
      <c r="DI308" s="8"/>
      <c r="DJ308" s="8"/>
      <c r="DK308" s="8"/>
      <c r="DL308" s="8"/>
    </row>
    <row r="309" spans="94:116" x14ac:dyDescent="0.25">
      <c r="CU309" s="5"/>
      <c r="CV309" s="5"/>
      <c r="CW309" s="5"/>
      <c r="CX309" s="5"/>
      <c r="CY309" s="5"/>
      <c r="CZ309" s="5"/>
      <c r="DC309" s="12"/>
      <c r="DD309" s="12"/>
    </row>
    <row r="310" spans="94:116" x14ac:dyDescent="0.25">
      <c r="CU310" s="5"/>
      <c r="CV310" s="5"/>
      <c r="CW310" s="5"/>
      <c r="CX310" s="5"/>
      <c r="CY310" s="5"/>
      <c r="CZ310" s="5"/>
      <c r="DC310" s="12"/>
      <c r="DD310" s="12"/>
    </row>
    <row r="311" spans="94:116" x14ac:dyDescent="0.25">
      <c r="CU311" s="5"/>
      <c r="CV311" s="5"/>
      <c r="CW311" s="5"/>
      <c r="CX311" s="5"/>
      <c r="CY311" s="5"/>
      <c r="CZ311" s="5"/>
      <c r="DC311" s="12"/>
      <c r="DD311" s="12"/>
    </row>
    <row r="312" spans="94:116" x14ac:dyDescent="0.25">
      <c r="CU312" s="5"/>
      <c r="CV312" s="5"/>
      <c r="CW312" s="5"/>
      <c r="CX312" s="5"/>
      <c r="CY312" s="5"/>
      <c r="CZ312" s="5"/>
      <c r="DC312" s="12"/>
      <c r="DD312" s="12"/>
    </row>
    <row r="313" spans="94:116" x14ac:dyDescent="0.25">
      <c r="CU313" s="5"/>
      <c r="CV313" s="5"/>
      <c r="CW313" s="5"/>
      <c r="CX313" s="5"/>
      <c r="CY313" s="5"/>
      <c r="CZ313" s="5"/>
      <c r="DC313" s="12"/>
      <c r="DD313" s="12"/>
    </row>
    <row r="314" spans="94:116" x14ac:dyDescent="0.25">
      <c r="CU314" s="5"/>
      <c r="CV314" s="5"/>
      <c r="CW314" s="5"/>
      <c r="CX314" s="5"/>
      <c r="CY314" s="5"/>
      <c r="CZ314" s="5"/>
      <c r="DC314" s="12"/>
      <c r="DD314" s="12"/>
    </row>
    <row r="315" spans="94:116" x14ac:dyDescent="0.25">
      <c r="CU315" s="5"/>
      <c r="CV315" s="5"/>
      <c r="CW315" s="5"/>
      <c r="CX315" s="5"/>
      <c r="CY315" s="5"/>
      <c r="CZ315" s="5"/>
      <c r="DC315" s="12"/>
      <c r="DD315" s="12"/>
    </row>
    <row r="316" spans="94:116" x14ac:dyDescent="0.25">
      <c r="CU316" s="5"/>
      <c r="CV316" s="5"/>
      <c r="CW316" s="5"/>
      <c r="CX316" s="5"/>
      <c r="CY316" s="5"/>
      <c r="CZ316" s="5"/>
      <c r="DC316" s="12"/>
      <c r="DD316" s="12"/>
    </row>
    <row r="317" spans="94:116" x14ac:dyDescent="0.25">
      <c r="CU317" s="5"/>
      <c r="CV317" s="5"/>
      <c r="CW317" s="5"/>
      <c r="CX317" s="5"/>
      <c r="CY317" s="5"/>
      <c r="CZ317" s="5"/>
      <c r="DC317" s="12"/>
      <c r="DD317" s="12"/>
    </row>
    <row r="318" spans="94:116" x14ac:dyDescent="0.25">
      <c r="CU318" s="5"/>
      <c r="CV318" s="5"/>
      <c r="CW318" s="5"/>
      <c r="CX318" s="5"/>
      <c r="CY318" s="5"/>
      <c r="CZ318" s="5"/>
      <c r="DC318" s="12"/>
      <c r="DD318" s="12"/>
    </row>
    <row r="319" spans="94:116" x14ac:dyDescent="0.25">
      <c r="CU319" s="5"/>
      <c r="CV319" s="5"/>
      <c r="CW319" s="5"/>
      <c r="CX319" s="5"/>
      <c r="CY319" s="5"/>
      <c r="CZ319" s="5"/>
      <c r="DC319" s="12"/>
      <c r="DD319" s="12"/>
    </row>
    <row r="320" spans="94:116" x14ac:dyDescent="0.25">
      <c r="CP320" s="1">
        <v>303</v>
      </c>
      <c r="CU320" s="5"/>
      <c r="CV320" s="5"/>
      <c r="CW320" s="5"/>
      <c r="CX320" s="5"/>
      <c r="CY320" s="5"/>
      <c r="CZ320" s="5"/>
      <c r="DC320" s="12"/>
      <c r="DD320" s="12"/>
    </row>
    <row r="321" spans="94:108" x14ac:dyDescent="0.25">
      <c r="CP321" s="1">
        <v>304</v>
      </c>
      <c r="CU321" s="5"/>
      <c r="CV321" s="5"/>
      <c r="CW321" s="5"/>
      <c r="CX321" s="5"/>
      <c r="CY321" s="5"/>
      <c r="CZ321" s="5"/>
      <c r="DC321" s="12"/>
      <c r="DD321" s="12"/>
    </row>
    <row r="322" spans="94:108" x14ac:dyDescent="0.25">
      <c r="CP322" s="1">
        <v>305</v>
      </c>
      <c r="CU322" s="5"/>
      <c r="CV322" s="5"/>
      <c r="CW322" s="5"/>
      <c r="CX322" s="5"/>
      <c r="CY322" s="5"/>
      <c r="CZ322" s="5"/>
      <c r="DC322" s="12"/>
      <c r="DD322" s="12"/>
    </row>
    <row r="323" spans="94:108" x14ac:dyDescent="0.25">
      <c r="CP323" s="1">
        <v>306</v>
      </c>
      <c r="CU323" s="5"/>
      <c r="CV323" s="5"/>
      <c r="CW323" s="5"/>
      <c r="CX323" s="5"/>
      <c r="CY323" s="5"/>
      <c r="CZ323" s="5"/>
      <c r="DC323" s="12"/>
      <c r="DD323" s="12"/>
    </row>
    <row r="324" spans="94:108" x14ac:dyDescent="0.25">
      <c r="CP324" s="1">
        <v>307</v>
      </c>
      <c r="CU324" s="5"/>
      <c r="CV324" s="5"/>
      <c r="CW324" s="5"/>
      <c r="CX324" s="5"/>
      <c r="CY324" s="5"/>
      <c r="CZ324" s="5"/>
      <c r="DC324" s="12"/>
      <c r="DD324" s="12"/>
    </row>
    <row r="325" spans="94:108" ht="18" x14ac:dyDescent="0.35">
      <c r="CP325" s="1">
        <v>308</v>
      </c>
      <c r="CT325" s="5" t="s">
        <v>465</v>
      </c>
      <c r="CU325" s="19">
        <v>5</v>
      </c>
      <c r="CV325" s="19">
        <v>16</v>
      </c>
      <c r="CW325" s="19">
        <v>0</v>
      </c>
      <c r="CX325" s="19">
        <v>4</v>
      </c>
      <c r="CY325" s="19">
        <v>0</v>
      </c>
      <c r="CZ325" s="19">
        <v>0</v>
      </c>
      <c r="DA325" s="5">
        <v>2</v>
      </c>
      <c r="DB325" s="19"/>
      <c r="DC325" s="12">
        <f t="shared" ref="DC325:DC334" si="13">IF(CU325=0,(4*CU325+CV325-2*CW325-3*CX325+5*CY325-2*CZ325-DA325),(4*CU325+CV325-2*CW325-3*CX325+5*CY325-2*CZ325-DA325)/CU325)</f>
        <v>4.4000000000000004</v>
      </c>
      <c r="DD325" s="12">
        <f t="shared" ref="DD325:DD334" si="14">IF(CU325=0,DC325,DC325*CU325)</f>
        <v>22</v>
      </c>
    </row>
    <row r="326" spans="94:108" ht="18" x14ac:dyDescent="0.35">
      <c r="CP326" s="1">
        <v>309</v>
      </c>
      <c r="CT326" s="5" t="s">
        <v>466</v>
      </c>
      <c r="CU326" s="20">
        <v>3</v>
      </c>
      <c r="CV326" s="20">
        <v>5</v>
      </c>
      <c r="CW326" s="20">
        <v>2</v>
      </c>
      <c r="CX326" s="20">
        <v>0</v>
      </c>
      <c r="CY326" s="20">
        <v>0</v>
      </c>
      <c r="CZ326" s="20">
        <v>0</v>
      </c>
      <c r="DA326" s="19">
        <v>-1</v>
      </c>
      <c r="DB326" s="19"/>
      <c r="DC326" s="12">
        <f t="shared" si="13"/>
        <v>4.666666666666667</v>
      </c>
      <c r="DD326" s="12">
        <f t="shared" si="14"/>
        <v>14</v>
      </c>
    </row>
    <row r="327" spans="94:108" ht="18" x14ac:dyDescent="0.35">
      <c r="CT327" s="5" t="s">
        <v>467</v>
      </c>
      <c r="CU327" s="5">
        <v>3</v>
      </c>
      <c r="CV327" s="5">
        <v>7</v>
      </c>
      <c r="CW327" s="5">
        <v>6</v>
      </c>
      <c r="CX327" s="5">
        <v>0</v>
      </c>
      <c r="CY327" s="5">
        <v>1</v>
      </c>
      <c r="CZ327" s="5">
        <v>0</v>
      </c>
      <c r="DA327" s="19">
        <v>-2</v>
      </c>
      <c r="DC327" s="12">
        <f t="shared" si="13"/>
        <v>4.666666666666667</v>
      </c>
      <c r="DD327" s="12">
        <f t="shared" si="14"/>
        <v>14</v>
      </c>
    </row>
    <row r="328" spans="94:108" ht="16.5" x14ac:dyDescent="0.25">
      <c r="CT328" s="16" t="s">
        <v>468</v>
      </c>
      <c r="CU328" s="5">
        <v>0</v>
      </c>
      <c r="CV328" s="5">
        <v>0</v>
      </c>
      <c r="CW328" s="5">
        <v>0</v>
      </c>
      <c r="CX328" s="5">
        <v>0</v>
      </c>
      <c r="CY328" s="5">
        <v>0</v>
      </c>
      <c r="CZ328" s="5">
        <v>0</v>
      </c>
      <c r="DA328" s="5">
        <v>0</v>
      </c>
      <c r="DB328" s="3"/>
      <c r="DC328" s="12">
        <f t="shared" si="13"/>
        <v>0</v>
      </c>
      <c r="DD328" s="12">
        <f t="shared" si="14"/>
        <v>0</v>
      </c>
    </row>
    <row r="329" spans="94:108" ht="19.5" x14ac:dyDescent="0.4">
      <c r="CT329" s="13" t="s">
        <v>469</v>
      </c>
      <c r="CU329" s="5">
        <v>6</v>
      </c>
      <c r="CV329" s="5">
        <v>10</v>
      </c>
      <c r="CW329" s="5">
        <v>2</v>
      </c>
      <c r="CX329" s="5">
        <v>2</v>
      </c>
      <c r="CY329" s="5">
        <v>0</v>
      </c>
      <c r="CZ329" s="5">
        <v>0</v>
      </c>
      <c r="DA329" s="5">
        <v>0</v>
      </c>
      <c r="DC329" s="12">
        <f t="shared" si="13"/>
        <v>4</v>
      </c>
      <c r="DD329" s="12">
        <f t="shared" si="14"/>
        <v>24</v>
      </c>
    </row>
    <row r="330" spans="94:108" ht="19.5" x14ac:dyDescent="0.4">
      <c r="CT330" s="13" t="s">
        <v>470</v>
      </c>
      <c r="CU330" s="5">
        <v>6</v>
      </c>
      <c r="CV330" s="5">
        <v>10</v>
      </c>
      <c r="CW330" s="5">
        <v>3</v>
      </c>
      <c r="CX330" s="5">
        <v>2</v>
      </c>
      <c r="CY330" s="5">
        <v>0</v>
      </c>
      <c r="CZ330" s="5">
        <v>0</v>
      </c>
      <c r="DA330" s="5">
        <v>0</v>
      </c>
      <c r="DC330" s="12">
        <f t="shared" si="13"/>
        <v>3.6666666666666665</v>
      </c>
      <c r="DD330" s="12">
        <f t="shared" si="14"/>
        <v>22</v>
      </c>
    </row>
    <row r="331" spans="94:108" ht="19.5" x14ac:dyDescent="0.4">
      <c r="CT331" s="13" t="s">
        <v>471</v>
      </c>
      <c r="CU331" s="5">
        <v>3</v>
      </c>
      <c r="CV331" s="5">
        <v>8</v>
      </c>
      <c r="CW331" s="5">
        <v>3</v>
      </c>
      <c r="CX331" s="5">
        <v>0</v>
      </c>
      <c r="CY331" s="5">
        <v>0</v>
      </c>
      <c r="CZ331" s="5">
        <v>0</v>
      </c>
      <c r="DA331" s="5">
        <v>0</v>
      </c>
      <c r="DC331" s="12">
        <f t="shared" si="13"/>
        <v>4.666666666666667</v>
      </c>
      <c r="DD331" s="12">
        <f t="shared" si="14"/>
        <v>14</v>
      </c>
    </row>
    <row r="332" spans="94:108" ht="16.5" x14ac:dyDescent="0.35">
      <c r="CT332" s="13" t="s">
        <v>472</v>
      </c>
      <c r="CU332" s="5">
        <v>5</v>
      </c>
      <c r="CV332" s="5">
        <v>9</v>
      </c>
      <c r="CW332" s="5">
        <v>2</v>
      </c>
      <c r="CX332" s="5">
        <v>1</v>
      </c>
      <c r="CY332" s="5">
        <v>0</v>
      </c>
      <c r="CZ332" s="5">
        <v>0</v>
      </c>
      <c r="DA332" s="5">
        <v>0</v>
      </c>
      <c r="DC332" s="12">
        <f t="shared" si="13"/>
        <v>4.4000000000000004</v>
      </c>
      <c r="DD332" s="12">
        <f t="shared" si="14"/>
        <v>22</v>
      </c>
    </row>
    <row r="333" spans="94:108" ht="16.5" x14ac:dyDescent="0.35">
      <c r="CT333" s="13" t="s">
        <v>316</v>
      </c>
      <c r="CU333" s="5">
        <v>5</v>
      </c>
      <c r="CV333" s="5">
        <v>8</v>
      </c>
      <c r="CW333" s="5">
        <v>4</v>
      </c>
      <c r="CX333" s="5">
        <v>1</v>
      </c>
      <c r="CY333" s="5">
        <v>0</v>
      </c>
      <c r="CZ333" s="5">
        <v>0</v>
      </c>
      <c r="DA333" s="5">
        <v>-1</v>
      </c>
      <c r="DC333" s="12">
        <f t="shared" si="13"/>
        <v>3.6</v>
      </c>
      <c r="DD333" s="12">
        <f t="shared" si="14"/>
        <v>18</v>
      </c>
    </row>
    <row r="334" spans="94:108" ht="16.5" x14ac:dyDescent="0.35">
      <c r="CT334" s="13" t="s">
        <v>318</v>
      </c>
      <c r="CU334" s="5">
        <v>5</v>
      </c>
      <c r="CV334" s="5">
        <v>10</v>
      </c>
      <c r="CW334" s="5">
        <v>3</v>
      </c>
      <c r="CX334" s="5">
        <v>2</v>
      </c>
      <c r="CY334" s="5">
        <v>0</v>
      </c>
      <c r="CZ334" s="5">
        <v>0</v>
      </c>
      <c r="DA334" s="5">
        <v>0</v>
      </c>
      <c r="DC334" s="12">
        <f t="shared" si="13"/>
        <v>3.6</v>
      </c>
      <c r="DD334" s="12">
        <f t="shared" si="14"/>
        <v>18</v>
      </c>
    </row>
    <row r="335" spans="94:108" x14ac:dyDescent="0.25">
      <c r="DC335" s="12"/>
      <c r="DD335" s="12"/>
    </row>
    <row r="336" spans="94:108" x14ac:dyDescent="0.25">
      <c r="DC336" s="12"/>
      <c r="DD336" s="12"/>
    </row>
    <row r="337" spans="98:108" x14ac:dyDescent="0.25">
      <c r="DC337" s="12"/>
      <c r="DD337" s="12"/>
    </row>
    <row r="338" spans="98:108" x14ac:dyDescent="0.25">
      <c r="DC338" s="12"/>
      <c r="DD338" s="12"/>
    </row>
    <row r="339" spans="98:108" x14ac:dyDescent="0.25">
      <c r="DC339" s="12"/>
      <c r="DD339" s="12"/>
    </row>
    <row r="340" spans="98:108" x14ac:dyDescent="0.25">
      <c r="DC340" s="12"/>
      <c r="DD340" s="12"/>
    </row>
    <row r="341" spans="98:108" x14ac:dyDescent="0.25">
      <c r="DC341" s="12"/>
      <c r="DD341" s="12"/>
    </row>
    <row r="342" spans="98:108" x14ac:dyDescent="0.25">
      <c r="CT342" s="1"/>
      <c r="DA342" s="1"/>
      <c r="DB342" s="1"/>
      <c r="DC342" s="12"/>
      <c r="DD342" s="12"/>
    </row>
    <row r="343" spans="98:108" x14ac:dyDescent="0.25">
      <c r="CT343" s="1"/>
      <c r="DA343" s="1"/>
      <c r="DB343" s="1"/>
      <c r="DC343" s="12"/>
      <c r="DD343" s="12"/>
    </row>
    <row r="344" spans="98:108" x14ac:dyDescent="0.25">
      <c r="CT344" s="1"/>
      <c r="DA344" s="1"/>
      <c r="DB344" s="1"/>
      <c r="DC344" s="12"/>
      <c r="DD344" s="12"/>
    </row>
    <row r="356" spans="98:108" x14ac:dyDescent="0.25">
      <c r="CT356" s="1"/>
      <c r="DA356" s="1"/>
      <c r="DB356" s="1"/>
      <c r="DC356" s="12"/>
      <c r="DD356" s="12"/>
    </row>
    <row r="357" spans="98:108" x14ac:dyDescent="0.25">
      <c r="CT357" s="1"/>
      <c r="DA357" s="1"/>
      <c r="DB357" s="1"/>
      <c r="DC357" s="12"/>
      <c r="DD357" s="12"/>
    </row>
    <row r="358" spans="98:108" x14ac:dyDescent="0.25">
      <c r="CT358" s="1"/>
      <c r="DA358" s="1"/>
      <c r="DB358" s="1"/>
      <c r="DC358" s="12"/>
      <c r="DD358" s="12"/>
    </row>
    <row r="359" spans="98:108" x14ac:dyDescent="0.25">
      <c r="CT359" s="1"/>
      <c r="DA359" s="1"/>
      <c r="DB359" s="1"/>
      <c r="DC359" s="12"/>
      <c r="DD359" s="12"/>
    </row>
    <row r="360" spans="98:108" x14ac:dyDescent="0.25">
      <c r="CT360" s="1"/>
      <c r="DA360" s="1"/>
      <c r="DB360" s="1"/>
      <c r="DC360" s="12"/>
      <c r="DD360" s="12"/>
    </row>
    <row r="361" spans="98:108" x14ac:dyDescent="0.25">
      <c r="CT361" s="1"/>
      <c r="DA361" s="1"/>
      <c r="DB361" s="1"/>
      <c r="DC361" s="12"/>
      <c r="DD361" s="12"/>
    </row>
    <row r="365" spans="98:108" x14ac:dyDescent="0.25">
      <c r="CT365" s="1"/>
      <c r="DA365" s="1"/>
      <c r="DB365" s="1"/>
      <c r="DC365" s="12"/>
      <c r="DD365" s="12"/>
    </row>
    <row r="366" spans="98:108" x14ac:dyDescent="0.25">
      <c r="CT366" s="1"/>
      <c r="DA366" s="1"/>
      <c r="DB366" s="1"/>
      <c r="DC366" s="12"/>
      <c r="DD366" s="12"/>
    </row>
    <row r="367" spans="98:108" x14ac:dyDescent="0.25">
      <c r="CT367" s="1"/>
      <c r="DA367" s="1"/>
      <c r="DB367" s="1"/>
      <c r="DC367" s="12"/>
      <c r="DD367" s="12"/>
    </row>
    <row r="368" spans="98:108" x14ac:dyDescent="0.25">
      <c r="CT368" s="1"/>
      <c r="DA368" s="1"/>
      <c r="DB368" s="1"/>
      <c r="DC368" s="12"/>
      <c r="DD368" s="12"/>
    </row>
    <row r="369" spans="98:108" x14ac:dyDescent="0.25">
      <c r="CT369" s="1"/>
      <c r="DA369" s="1"/>
      <c r="DB369" s="1"/>
      <c r="DC369" s="12"/>
      <c r="DD369" s="12"/>
    </row>
    <row r="373" spans="98:108" x14ac:dyDescent="0.25">
      <c r="CT373" s="1"/>
      <c r="DA373" s="1"/>
      <c r="DB373" s="1"/>
      <c r="DC373" s="12"/>
      <c r="DD373" s="12"/>
    </row>
    <row r="374" spans="98:108" x14ac:dyDescent="0.25">
      <c r="CT374" s="1"/>
      <c r="DA374" s="1"/>
      <c r="DB374" s="1"/>
      <c r="DC374" s="12"/>
      <c r="DD374" s="12"/>
    </row>
    <row r="375" spans="98:108" x14ac:dyDescent="0.25">
      <c r="CT375" s="1"/>
      <c r="DA375" s="1"/>
      <c r="DB375" s="1"/>
      <c r="DC375" s="12"/>
      <c r="DD375" s="12"/>
    </row>
    <row r="376" spans="98:108" x14ac:dyDescent="0.25">
      <c r="CT376" s="1"/>
      <c r="DA376" s="1"/>
      <c r="DB376" s="1"/>
      <c r="DC376" s="12"/>
      <c r="DD376" s="12"/>
    </row>
    <row r="377" spans="98:108" x14ac:dyDescent="0.25">
      <c r="CT377" s="1"/>
      <c r="DA377" s="1"/>
      <c r="DB377" s="1"/>
      <c r="DC377" s="12"/>
      <c r="DD377" s="12"/>
    </row>
    <row r="378" spans="98:108" x14ac:dyDescent="0.25">
      <c r="CT378" s="1"/>
      <c r="DA378" s="1"/>
      <c r="DB378" s="1"/>
      <c r="DC378" s="12"/>
      <c r="DD378" s="1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01BAC-8C00-4775-8E27-0EB6413D9FC1}">
  <dimension ref="A1:AI83"/>
  <sheetViews>
    <sheetView workbookViewId="0">
      <selection activeCell="J8" sqref="J8"/>
    </sheetView>
  </sheetViews>
  <sheetFormatPr defaultRowHeight="15" x14ac:dyDescent="0.25"/>
  <sheetData>
    <row r="1" spans="1:32" x14ac:dyDescent="0.25">
      <c r="A1" s="31" t="s">
        <v>687</v>
      </c>
    </row>
    <row r="2" spans="1:32" x14ac:dyDescent="0.25">
      <c r="A2" s="31"/>
      <c r="B2" t="s">
        <v>693</v>
      </c>
    </row>
    <row r="3" spans="1:32" x14ac:dyDescent="0.25">
      <c r="B3" s="32" t="s">
        <v>655</v>
      </c>
      <c r="C3" s="32"/>
      <c r="D3" s="22"/>
      <c r="E3" s="22" t="s">
        <v>846</v>
      </c>
      <c r="F3" s="22">
        <f>(6.02E+23)*1.1/((1000)*(3600)*3.85*(10^18))</f>
        <v>4.777777777777778E-2</v>
      </c>
      <c r="G3" s="22"/>
      <c r="L3" t="s">
        <v>912</v>
      </c>
    </row>
    <row r="4" spans="1:32" ht="17.25" x14ac:dyDescent="0.25">
      <c r="B4" s="49"/>
      <c r="C4" s="49" t="s">
        <v>666</v>
      </c>
      <c r="D4" s="49"/>
      <c r="E4" s="56"/>
      <c r="F4" s="56" t="s">
        <v>654</v>
      </c>
      <c r="G4" s="56"/>
      <c r="H4" s="31"/>
      <c r="I4" s="31"/>
      <c r="J4" s="31"/>
      <c r="L4" t="s">
        <v>911</v>
      </c>
    </row>
    <row r="5" spans="1:32" ht="17.25" x14ac:dyDescent="0.25">
      <c r="B5" s="49" t="s">
        <v>656</v>
      </c>
      <c r="C5" s="50" t="s">
        <v>667</v>
      </c>
      <c r="D5" s="49"/>
      <c r="E5" s="56"/>
      <c r="F5" s="57" t="s">
        <v>657</v>
      </c>
      <c r="G5" s="56"/>
      <c r="H5" s="31"/>
      <c r="I5" s="44"/>
      <c r="J5" s="31"/>
      <c r="L5" t="s">
        <v>910</v>
      </c>
    </row>
    <row r="6" spans="1:32" x14ac:dyDescent="0.25">
      <c r="B6" s="49" t="s">
        <v>658</v>
      </c>
      <c r="C6" s="50">
        <v>4.8000000000000001E-2</v>
      </c>
      <c r="D6" s="49"/>
      <c r="E6" s="56"/>
      <c r="F6" s="57">
        <v>4.8000000000000001E-2</v>
      </c>
      <c r="G6" s="56"/>
      <c r="H6" s="31"/>
      <c r="I6" s="44"/>
      <c r="J6" s="31"/>
    </row>
    <row r="7" spans="1:32" x14ac:dyDescent="0.25">
      <c r="B7" s="51"/>
      <c r="C7" s="52"/>
      <c r="D7" s="51"/>
      <c r="E7" s="58"/>
      <c r="F7" s="59"/>
      <c r="G7" s="58"/>
      <c r="I7" s="45"/>
      <c r="L7" s="51" t="s">
        <v>698</v>
      </c>
      <c r="M7" s="51"/>
      <c r="N7" s="51" t="s">
        <v>432</v>
      </c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  <c r="AA7" s="51"/>
      <c r="AB7" s="51"/>
      <c r="AC7" s="51"/>
      <c r="AD7" s="51"/>
      <c r="AE7" s="51"/>
      <c r="AF7" s="51"/>
    </row>
    <row r="8" spans="1:32" ht="18" x14ac:dyDescent="0.35">
      <c r="B8" s="53" t="s">
        <v>699</v>
      </c>
      <c r="C8" s="53" t="s">
        <v>659</v>
      </c>
      <c r="D8" s="53" t="s">
        <v>660</v>
      </c>
      <c r="E8" s="60" t="s">
        <v>699</v>
      </c>
      <c r="F8" s="60" t="s">
        <v>659</v>
      </c>
      <c r="G8" s="60" t="s">
        <v>660</v>
      </c>
      <c r="H8" s="38"/>
      <c r="I8" s="38"/>
      <c r="J8" s="38"/>
      <c r="L8" s="51" t="s">
        <v>671</v>
      </c>
      <c r="M8" s="51">
        <v>0.01</v>
      </c>
      <c r="N8" s="51">
        <v>0.02</v>
      </c>
      <c r="O8" s="51">
        <v>0.03</v>
      </c>
      <c r="P8" s="51">
        <v>0.04</v>
      </c>
      <c r="Q8" s="51">
        <v>0.05</v>
      </c>
      <c r="R8" s="51">
        <v>0.06</v>
      </c>
      <c r="S8" s="51">
        <v>7.0000000000000007E-2</v>
      </c>
      <c r="T8" s="51">
        <v>0.08</v>
      </c>
      <c r="U8" s="51">
        <v>0.09</v>
      </c>
      <c r="V8" s="51">
        <v>0.1</v>
      </c>
      <c r="W8" s="51">
        <v>0.11</v>
      </c>
      <c r="X8" s="51">
        <v>0.12</v>
      </c>
      <c r="Y8" s="51">
        <v>0.13</v>
      </c>
      <c r="Z8" s="51">
        <v>0.14000000000000001</v>
      </c>
      <c r="AA8" s="51">
        <v>0.15</v>
      </c>
      <c r="AB8" s="51">
        <v>0.16</v>
      </c>
      <c r="AC8" s="51">
        <v>0.17</v>
      </c>
      <c r="AD8" s="51">
        <v>0.18</v>
      </c>
      <c r="AE8" s="51">
        <v>0.19</v>
      </c>
      <c r="AF8" s="51">
        <v>0.2</v>
      </c>
    </row>
    <row r="9" spans="1:32" x14ac:dyDescent="0.25">
      <c r="B9" s="54">
        <v>0.01</v>
      </c>
      <c r="C9" s="55">
        <f>-B9*2.644/$C$6</f>
        <v>-0.5508333333333334</v>
      </c>
      <c r="D9" s="55">
        <f>B9*9.298/($C$6)</f>
        <v>1.9370833333333335</v>
      </c>
      <c r="E9" s="61">
        <v>0.01</v>
      </c>
      <c r="F9" s="62">
        <f>-E9*1.384/$F$6</f>
        <v>-0.28833333333333333</v>
      </c>
      <c r="G9" s="62">
        <f>E9*6.763/($F$6)</f>
        <v>1.4089583333333333</v>
      </c>
      <c r="H9" s="1"/>
      <c r="I9" s="33"/>
      <c r="J9" s="33"/>
      <c r="L9" s="51" t="s">
        <v>659</v>
      </c>
      <c r="M9" s="51">
        <v>-0.5508333333333334</v>
      </c>
      <c r="N9" s="51">
        <v>-1.1016666666666668</v>
      </c>
      <c r="O9" s="51">
        <v>-1.6525000000000001</v>
      </c>
      <c r="P9" s="51">
        <v>-2.2033333333333336</v>
      </c>
      <c r="Q9" s="51">
        <v>-2.7541666666666669</v>
      </c>
      <c r="R9" s="51">
        <v>-3.3050000000000002</v>
      </c>
      <c r="S9" s="51">
        <v>-3.8558333333333339</v>
      </c>
      <c r="T9" s="51">
        <v>-4.4066666666666672</v>
      </c>
      <c r="U9" s="51">
        <v>-4.9574999999999996</v>
      </c>
      <c r="V9" s="51">
        <v>-5.5083333333333337</v>
      </c>
      <c r="W9" s="51">
        <v>-6.059166666666667</v>
      </c>
      <c r="X9" s="51">
        <v>-6.61</v>
      </c>
      <c r="Y9" s="51">
        <v>-7.1608333333333336</v>
      </c>
      <c r="Z9" s="51">
        <v>-7.7116666666666678</v>
      </c>
      <c r="AA9" s="51">
        <v>-8.2624999999999993</v>
      </c>
      <c r="AB9" s="51">
        <v>-8.8133333333333344</v>
      </c>
      <c r="AC9" s="51">
        <v>-9.3641666666666676</v>
      </c>
      <c r="AD9" s="51">
        <v>-9.9149999999999991</v>
      </c>
      <c r="AE9" s="51">
        <v>-10.465833333333334</v>
      </c>
      <c r="AF9" s="51">
        <v>-11.016666666666667</v>
      </c>
    </row>
    <row r="10" spans="1:32" x14ac:dyDescent="0.25">
      <c r="B10" s="54">
        <v>0.02</v>
      </c>
      <c r="C10" s="55">
        <f t="shared" ref="C10:C29" si="0">-B10*2.644/$C$6</f>
        <v>-1.1016666666666668</v>
      </c>
      <c r="D10" s="55">
        <f t="shared" ref="D10:D29" si="1">B10*9.298/($C$6)</f>
        <v>3.874166666666667</v>
      </c>
      <c r="E10" s="61">
        <v>0.02</v>
      </c>
      <c r="F10" s="62">
        <f t="shared" ref="F10:F29" si="2">-E10*1.384/$F$6</f>
        <v>-0.57666666666666666</v>
      </c>
      <c r="G10" s="62">
        <f t="shared" ref="G10:G29" si="3">E10*6.763/($F$6)</f>
        <v>2.8179166666666666</v>
      </c>
      <c r="H10" s="1"/>
      <c r="I10" s="33"/>
      <c r="J10" s="33"/>
      <c r="L10" s="51" t="s">
        <v>660</v>
      </c>
      <c r="M10" s="51">
        <v>1.9370833333333335</v>
      </c>
      <c r="N10" s="51">
        <v>3.874166666666667</v>
      </c>
      <c r="O10" s="51">
        <v>5.8112499999999994</v>
      </c>
      <c r="P10" s="51">
        <v>7.748333333333334</v>
      </c>
      <c r="Q10" s="51">
        <v>9.6854166666666668</v>
      </c>
      <c r="R10" s="51">
        <v>11.622499999999999</v>
      </c>
      <c r="S10" s="51">
        <v>13.559583333333336</v>
      </c>
      <c r="T10" s="51">
        <v>15.496666666666668</v>
      </c>
      <c r="U10" s="51">
        <v>17.43375</v>
      </c>
      <c r="V10" s="51">
        <v>19.370833333333334</v>
      </c>
      <c r="W10" s="51">
        <v>21.307916666666667</v>
      </c>
      <c r="X10" s="51">
        <v>23.244999999999997</v>
      </c>
      <c r="Y10" s="51">
        <v>25.182083333333335</v>
      </c>
      <c r="Z10" s="51">
        <v>27.119166666666672</v>
      </c>
      <c r="AA10" s="51">
        <v>29.056250000000002</v>
      </c>
      <c r="AB10" s="51">
        <v>30.993333333333336</v>
      </c>
      <c r="AC10" s="51">
        <v>32.930416666666673</v>
      </c>
      <c r="AD10" s="51">
        <v>34.8675</v>
      </c>
      <c r="AE10" s="51">
        <v>36.804583333333333</v>
      </c>
      <c r="AF10" s="51">
        <v>38.741666666666667</v>
      </c>
    </row>
    <row r="11" spans="1:32" x14ac:dyDescent="0.25">
      <c r="B11" s="54">
        <v>0.03</v>
      </c>
      <c r="C11" s="55">
        <f t="shared" si="0"/>
        <v>-1.6525000000000001</v>
      </c>
      <c r="D11" s="55">
        <f t="shared" si="1"/>
        <v>5.8112499999999994</v>
      </c>
      <c r="E11" s="61">
        <v>0.03</v>
      </c>
      <c r="F11" s="62">
        <f t="shared" si="2"/>
        <v>-0.86499999999999988</v>
      </c>
      <c r="G11" s="62">
        <f t="shared" si="3"/>
        <v>4.2268749999999997</v>
      </c>
      <c r="H11" s="1"/>
      <c r="I11" s="33"/>
      <c r="J11" s="33"/>
      <c r="L11" s="58" t="s">
        <v>697</v>
      </c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</row>
    <row r="12" spans="1:32" x14ac:dyDescent="0.25">
      <c r="B12" s="54">
        <v>0.04</v>
      </c>
      <c r="C12" s="55">
        <f t="shared" si="0"/>
        <v>-2.2033333333333336</v>
      </c>
      <c r="D12" s="55">
        <f t="shared" si="1"/>
        <v>7.748333333333334</v>
      </c>
      <c r="E12" s="61">
        <v>0.04</v>
      </c>
      <c r="F12" s="62">
        <f t="shared" si="2"/>
        <v>-1.1533333333333333</v>
      </c>
      <c r="G12" s="62">
        <f t="shared" si="3"/>
        <v>5.6358333333333333</v>
      </c>
      <c r="H12" s="1"/>
      <c r="I12" s="33"/>
      <c r="J12" s="33"/>
      <c r="L12" s="58" t="s">
        <v>671</v>
      </c>
      <c r="M12" s="58">
        <v>0.01</v>
      </c>
      <c r="N12" s="58">
        <v>0.02</v>
      </c>
      <c r="O12" s="58">
        <v>0.03</v>
      </c>
      <c r="P12" s="58">
        <v>0.04</v>
      </c>
      <c r="Q12" s="58">
        <v>0.05</v>
      </c>
      <c r="R12" s="58">
        <v>0.06</v>
      </c>
      <c r="S12" s="58">
        <v>7.0000000000000007E-2</v>
      </c>
      <c r="T12" s="58">
        <v>0.08</v>
      </c>
      <c r="U12" s="58">
        <v>0.09</v>
      </c>
      <c r="V12" s="58">
        <v>0.1</v>
      </c>
      <c r="W12" s="58">
        <v>0.11</v>
      </c>
      <c r="X12" s="58">
        <v>0.12</v>
      </c>
      <c r="Y12" s="58">
        <v>0.13</v>
      </c>
      <c r="Z12" s="58">
        <v>0.14000000000000001</v>
      </c>
      <c r="AA12" s="58">
        <v>0.15</v>
      </c>
      <c r="AB12" s="58">
        <v>0.16</v>
      </c>
      <c r="AC12" s="58">
        <v>0.17</v>
      </c>
      <c r="AD12" s="58">
        <v>0.18</v>
      </c>
      <c r="AE12" s="58">
        <v>0.19</v>
      </c>
      <c r="AF12" s="58">
        <v>0.2</v>
      </c>
    </row>
    <row r="13" spans="1:32" x14ac:dyDescent="0.25">
      <c r="B13" s="54">
        <v>0.05</v>
      </c>
      <c r="C13" s="55">
        <f t="shared" si="0"/>
        <v>-2.7541666666666669</v>
      </c>
      <c r="D13" s="55">
        <f t="shared" si="1"/>
        <v>9.6854166666666668</v>
      </c>
      <c r="E13" s="61">
        <v>0.05</v>
      </c>
      <c r="F13" s="62">
        <f t="shared" si="2"/>
        <v>-1.4416666666666667</v>
      </c>
      <c r="G13" s="62">
        <f t="shared" si="3"/>
        <v>7.0447916666666668</v>
      </c>
      <c r="H13" s="1"/>
      <c r="I13" s="33"/>
      <c r="J13" s="33"/>
      <c r="L13" s="58" t="s">
        <v>659</v>
      </c>
      <c r="M13" s="58">
        <v>-0.28833333333333333</v>
      </c>
      <c r="N13" s="58">
        <v>-0.57666666666666666</v>
      </c>
      <c r="O13" s="58">
        <v>-0.86499999999999988</v>
      </c>
      <c r="P13" s="58">
        <v>-1.1533333333333333</v>
      </c>
      <c r="Q13" s="58">
        <v>-1.4416666666666667</v>
      </c>
      <c r="R13" s="58">
        <v>-1.7299999999999998</v>
      </c>
      <c r="S13" s="58">
        <v>-2.0183333333333335</v>
      </c>
      <c r="T13" s="58">
        <v>-2.3066666666666666</v>
      </c>
      <c r="U13" s="58">
        <v>-2.5949999999999998</v>
      </c>
      <c r="V13" s="58">
        <v>-2.8833333333333333</v>
      </c>
      <c r="W13" s="58">
        <v>-3.1716666666666664</v>
      </c>
      <c r="X13" s="58">
        <v>-3.4599999999999995</v>
      </c>
      <c r="Y13" s="58">
        <v>-3.7483333333333331</v>
      </c>
      <c r="Z13" s="58">
        <v>-4.0366666666666671</v>
      </c>
      <c r="AA13" s="58">
        <v>-4.3249999999999993</v>
      </c>
      <c r="AB13" s="58">
        <v>-4.6133333333333333</v>
      </c>
      <c r="AC13" s="58">
        <v>-4.9016666666666664</v>
      </c>
      <c r="AD13" s="58">
        <v>-5.1899999999999995</v>
      </c>
      <c r="AE13" s="58">
        <v>-5.4783333333333326</v>
      </c>
      <c r="AF13" s="58">
        <v>-5.7666666666666666</v>
      </c>
    </row>
    <row r="14" spans="1:32" x14ac:dyDescent="0.25">
      <c r="B14" s="54">
        <v>0.06</v>
      </c>
      <c r="C14" s="55">
        <f t="shared" si="0"/>
        <v>-3.3050000000000002</v>
      </c>
      <c r="D14" s="55">
        <f t="shared" si="1"/>
        <v>11.622499999999999</v>
      </c>
      <c r="E14" s="61">
        <v>0.06</v>
      </c>
      <c r="F14" s="62">
        <f t="shared" si="2"/>
        <v>-1.7299999999999998</v>
      </c>
      <c r="G14" s="62">
        <f t="shared" si="3"/>
        <v>8.4537499999999994</v>
      </c>
      <c r="H14" s="1"/>
      <c r="I14" s="33"/>
      <c r="J14" s="33"/>
      <c r="L14" s="58" t="s">
        <v>660</v>
      </c>
      <c r="M14" s="58">
        <v>1.4089583333333333</v>
      </c>
      <c r="N14" s="58">
        <v>2.8179166666666666</v>
      </c>
      <c r="O14" s="58">
        <v>4.2268749999999997</v>
      </c>
      <c r="P14" s="58">
        <v>5.6358333333333333</v>
      </c>
      <c r="Q14" s="58">
        <v>7.0447916666666668</v>
      </c>
      <c r="R14" s="58">
        <v>8.4537499999999994</v>
      </c>
      <c r="S14" s="58">
        <v>9.8627083333333339</v>
      </c>
      <c r="T14" s="58">
        <v>11.271666666666667</v>
      </c>
      <c r="U14" s="58">
        <v>12.680624999999999</v>
      </c>
      <c r="V14" s="58">
        <v>14.089583333333334</v>
      </c>
      <c r="W14" s="58">
        <v>15.498541666666666</v>
      </c>
      <c r="X14" s="58">
        <v>16.907499999999999</v>
      </c>
      <c r="Y14" s="58">
        <v>18.316458333333333</v>
      </c>
      <c r="Z14" s="58">
        <v>19.725416666666668</v>
      </c>
      <c r="AA14" s="58">
        <v>21.134374999999995</v>
      </c>
      <c r="AB14" s="58">
        <v>22.543333333333333</v>
      </c>
      <c r="AC14" s="58">
        <v>23.952291666666667</v>
      </c>
      <c r="AD14" s="58">
        <v>25.361249999999998</v>
      </c>
      <c r="AE14" s="58">
        <v>26.770208333333333</v>
      </c>
      <c r="AF14" s="58">
        <v>28.179166666666667</v>
      </c>
    </row>
    <row r="15" spans="1:32" ht="18.75" x14ac:dyDescent="0.3">
      <c r="B15" s="54">
        <v>6.5000000000000002E-2</v>
      </c>
      <c r="C15" s="55">
        <f t="shared" si="0"/>
        <v>-3.5804166666666668</v>
      </c>
      <c r="D15" s="55">
        <f t="shared" si="1"/>
        <v>12.591041666666667</v>
      </c>
      <c r="E15" s="61">
        <v>6.5000000000000002E-2</v>
      </c>
      <c r="F15" s="62">
        <f t="shared" si="2"/>
        <v>-1.8741666666666665</v>
      </c>
      <c r="G15" s="62">
        <f t="shared" si="3"/>
        <v>9.1582291666666666</v>
      </c>
      <c r="H15" s="1"/>
      <c r="I15" s="33"/>
      <c r="J15" s="33"/>
      <c r="Q15" s="46"/>
    </row>
    <row r="16" spans="1:32" x14ac:dyDescent="0.25">
      <c r="B16" s="54">
        <v>7.0000000000000007E-2</v>
      </c>
      <c r="C16" s="55">
        <f t="shared" si="0"/>
        <v>-3.8558333333333339</v>
      </c>
      <c r="D16" s="55">
        <f t="shared" si="1"/>
        <v>13.559583333333336</v>
      </c>
      <c r="E16" s="61">
        <v>7.0000000000000007E-2</v>
      </c>
      <c r="F16" s="62">
        <f t="shared" si="2"/>
        <v>-2.0183333333333335</v>
      </c>
      <c r="G16" s="62">
        <f t="shared" si="3"/>
        <v>9.8627083333333339</v>
      </c>
      <c r="H16" s="1"/>
      <c r="I16" s="33"/>
      <c r="J16" s="33"/>
    </row>
    <row r="17" spans="2:27" x14ac:dyDescent="0.25">
      <c r="B17" s="54">
        <v>0.08</v>
      </c>
      <c r="C17" s="55">
        <f t="shared" si="0"/>
        <v>-4.4066666666666672</v>
      </c>
      <c r="D17" s="55">
        <f t="shared" si="1"/>
        <v>15.496666666666668</v>
      </c>
      <c r="E17" s="61">
        <v>0.08</v>
      </c>
      <c r="F17" s="62">
        <f t="shared" si="2"/>
        <v>-2.3066666666666666</v>
      </c>
      <c r="G17" s="62">
        <f t="shared" si="3"/>
        <v>11.271666666666667</v>
      </c>
      <c r="H17" s="1"/>
      <c r="I17" s="33"/>
      <c r="J17" s="33"/>
    </row>
    <row r="18" spans="2:27" x14ac:dyDescent="0.25">
      <c r="B18" s="54">
        <v>0.09</v>
      </c>
      <c r="C18" s="55">
        <f t="shared" si="0"/>
        <v>-4.9574999999999996</v>
      </c>
      <c r="D18" s="55">
        <f t="shared" si="1"/>
        <v>17.43375</v>
      </c>
      <c r="E18" s="61">
        <v>0.09</v>
      </c>
      <c r="F18" s="62">
        <f t="shared" si="2"/>
        <v>-2.5949999999999998</v>
      </c>
      <c r="G18" s="62">
        <f t="shared" si="3"/>
        <v>12.680624999999999</v>
      </c>
      <c r="H18" s="1"/>
      <c r="I18" s="33"/>
      <c r="J18" s="33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2:27" x14ac:dyDescent="0.25">
      <c r="B19" s="54">
        <v>0.1</v>
      </c>
      <c r="C19" s="55">
        <f t="shared" si="0"/>
        <v>-5.5083333333333337</v>
      </c>
      <c r="D19" s="55">
        <f t="shared" si="1"/>
        <v>19.370833333333334</v>
      </c>
      <c r="E19" s="61">
        <v>0.1</v>
      </c>
      <c r="F19" s="62">
        <f t="shared" si="2"/>
        <v>-2.8833333333333333</v>
      </c>
      <c r="G19" s="62">
        <f t="shared" si="3"/>
        <v>14.089583333333334</v>
      </c>
      <c r="H19" s="1"/>
      <c r="I19" s="33"/>
      <c r="J19" s="33"/>
      <c r="M19" s="55" t="s">
        <v>848</v>
      </c>
      <c r="N19" s="62" t="s">
        <v>848</v>
      </c>
      <c r="O19" s="55" t="s">
        <v>849</v>
      </c>
      <c r="P19" s="55"/>
      <c r="Q19" s="55"/>
      <c r="R19" s="55"/>
      <c r="S19" s="55"/>
      <c r="T19" s="55"/>
      <c r="U19" s="33"/>
      <c r="V19" s="33"/>
      <c r="W19" s="33"/>
      <c r="X19" s="33"/>
      <c r="Y19" s="33"/>
      <c r="Z19" s="33"/>
      <c r="AA19" s="33"/>
    </row>
    <row r="20" spans="2:27" x14ac:dyDescent="0.25">
      <c r="B20" s="54">
        <v>0.11</v>
      </c>
      <c r="C20" s="55">
        <f t="shared" si="0"/>
        <v>-6.059166666666667</v>
      </c>
      <c r="D20" s="55">
        <f t="shared" si="1"/>
        <v>21.307916666666667</v>
      </c>
      <c r="E20" s="61">
        <v>0.11</v>
      </c>
      <c r="F20" s="62">
        <f t="shared" si="2"/>
        <v>-3.1716666666666664</v>
      </c>
      <c r="G20" s="62">
        <f t="shared" si="3"/>
        <v>15.498541666666666</v>
      </c>
      <c r="H20" s="1"/>
      <c r="I20" s="33"/>
      <c r="J20" s="33"/>
      <c r="M20" s="55" t="s">
        <v>695</v>
      </c>
      <c r="N20" s="62" t="s">
        <v>696</v>
      </c>
      <c r="O20" s="55" t="s">
        <v>695</v>
      </c>
      <c r="P20" s="55" t="s">
        <v>695</v>
      </c>
      <c r="Q20" s="55" t="s">
        <v>695</v>
      </c>
      <c r="R20" s="55" t="s">
        <v>695</v>
      </c>
      <c r="S20" s="55" t="s">
        <v>695</v>
      </c>
      <c r="T20" s="55" t="s">
        <v>695</v>
      </c>
      <c r="U20" s="33"/>
      <c r="V20" s="33"/>
      <c r="W20" s="33"/>
      <c r="X20" s="33"/>
      <c r="Y20" s="33"/>
      <c r="Z20" s="33"/>
      <c r="AA20" s="33"/>
    </row>
    <row r="21" spans="2:27" x14ac:dyDescent="0.25">
      <c r="B21" s="54">
        <v>0.12</v>
      </c>
      <c r="C21" s="55">
        <f t="shared" si="0"/>
        <v>-6.61</v>
      </c>
      <c r="D21" s="55">
        <f t="shared" si="1"/>
        <v>23.244999999999997</v>
      </c>
      <c r="E21" s="61">
        <v>0.12</v>
      </c>
      <c r="F21" s="62">
        <f t="shared" si="2"/>
        <v>-3.4599999999999995</v>
      </c>
      <c r="G21" s="62">
        <f t="shared" si="3"/>
        <v>16.907499999999999</v>
      </c>
      <c r="H21" s="1"/>
      <c r="I21" s="33"/>
      <c r="J21" s="33"/>
      <c r="L21" t="s">
        <v>850</v>
      </c>
      <c r="M21" s="51" t="s">
        <v>656</v>
      </c>
      <c r="N21" s="58"/>
      <c r="O21" s="63">
        <v>0.5</v>
      </c>
      <c r="P21" s="63">
        <v>-0.5</v>
      </c>
      <c r="Q21" s="63">
        <v>0.25</v>
      </c>
      <c r="R21" s="63">
        <v>-0.25</v>
      </c>
      <c r="S21" s="63">
        <v>0.1</v>
      </c>
      <c r="T21" s="63">
        <v>-0.1</v>
      </c>
    </row>
    <row r="22" spans="2:27" x14ac:dyDescent="0.25">
      <c r="B22" s="54">
        <v>0.13</v>
      </c>
      <c r="C22" s="55">
        <f t="shared" si="0"/>
        <v>-7.1608333333333336</v>
      </c>
      <c r="D22" s="55">
        <f t="shared" si="1"/>
        <v>25.182083333333335</v>
      </c>
      <c r="E22" s="61">
        <v>0.13</v>
      </c>
      <c r="F22" s="62">
        <f t="shared" si="2"/>
        <v>-3.7483333333333331</v>
      </c>
      <c r="G22" s="62">
        <f t="shared" si="3"/>
        <v>18.316458333333333</v>
      </c>
      <c r="H22" s="1"/>
      <c r="I22" s="33"/>
      <c r="J22" s="33"/>
      <c r="L22">
        <v>0.1</v>
      </c>
      <c r="M22" s="51">
        <f>-2.644*L22+9.298</f>
        <v>9.0335999999999999</v>
      </c>
      <c r="N22" s="58">
        <f>-1.384*L22+6.763</f>
        <v>6.6246</v>
      </c>
      <c r="O22" s="51">
        <f>1.5*M22</f>
        <v>13.5504</v>
      </c>
      <c r="P22" s="51">
        <f>0.5*M22</f>
        <v>4.5167999999999999</v>
      </c>
      <c r="Q22" s="51">
        <f>1.25*M22</f>
        <v>11.292</v>
      </c>
      <c r="R22" s="51">
        <f>0.75*M22</f>
        <v>6.7751999999999999</v>
      </c>
      <c r="S22" s="51">
        <f>M22*1.1</f>
        <v>9.9369600000000009</v>
      </c>
      <c r="T22" s="51">
        <f>M22*0.9</f>
        <v>8.1302400000000006</v>
      </c>
    </row>
    <row r="23" spans="2:27" x14ac:dyDescent="0.25">
      <c r="B23" s="54">
        <v>0.14000000000000001</v>
      </c>
      <c r="C23" s="55">
        <f t="shared" si="0"/>
        <v>-7.7116666666666678</v>
      </c>
      <c r="D23" s="55">
        <f t="shared" si="1"/>
        <v>27.119166666666672</v>
      </c>
      <c r="E23" s="61">
        <v>0.14000000000000001</v>
      </c>
      <c r="F23" s="62">
        <f t="shared" si="2"/>
        <v>-4.0366666666666671</v>
      </c>
      <c r="G23" s="62">
        <f t="shared" si="3"/>
        <v>19.725416666666668</v>
      </c>
      <c r="H23" s="1"/>
      <c r="I23" s="33"/>
      <c r="J23" s="33"/>
      <c r="K23" s="33"/>
      <c r="L23" s="33">
        <v>0.2</v>
      </c>
      <c r="M23" s="51">
        <f t="shared" ref="M23:M32" si="4">-2.644*L23+9.298</f>
        <v>8.7691999999999997</v>
      </c>
      <c r="N23" s="58">
        <f t="shared" ref="N23:N32" si="5">-1.384*L23+6.763</f>
        <v>6.4862000000000002</v>
      </c>
      <c r="O23" s="51">
        <f t="shared" ref="O23:O32" si="6">1.5*M23</f>
        <v>13.1538</v>
      </c>
      <c r="P23" s="51">
        <f t="shared" ref="P23:P32" si="7">0.5*M23</f>
        <v>4.3845999999999998</v>
      </c>
      <c r="Q23" s="51">
        <f t="shared" ref="Q23:Q32" si="8">1.25*M23</f>
        <v>10.961499999999999</v>
      </c>
      <c r="R23" s="51">
        <f t="shared" ref="R23:R32" si="9">0.75*M23</f>
        <v>6.5769000000000002</v>
      </c>
      <c r="S23" s="51">
        <f t="shared" ref="S23:S32" si="10">M23*1.1</f>
        <v>9.6461199999999998</v>
      </c>
      <c r="T23" s="51">
        <f t="shared" ref="T23:T32" si="11">M23*0.9</f>
        <v>7.8922799999999995</v>
      </c>
    </row>
    <row r="24" spans="2:27" x14ac:dyDescent="0.25">
      <c r="B24" s="54">
        <v>0.15</v>
      </c>
      <c r="C24" s="55">
        <f t="shared" si="0"/>
        <v>-8.2624999999999993</v>
      </c>
      <c r="D24" s="55">
        <f t="shared" si="1"/>
        <v>29.056250000000002</v>
      </c>
      <c r="E24" s="61">
        <v>0.15</v>
      </c>
      <c r="F24" s="62">
        <f t="shared" si="2"/>
        <v>-4.3249999999999993</v>
      </c>
      <c r="G24" s="62">
        <f t="shared" si="3"/>
        <v>21.134374999999995</v>
      </c>
      <c r="H24" s="1"/>
      <c r="I24" s="33"/>
      <c r="J24" s="33"/>
      <c r="L24">
        <v>0.3</v>
      </c>
      <c r="M24" s="51">
        <f t="shared" si="4"/>
        <v>8.5047999999999995</v>
      </c>
      <c r="N24" s="58">
        <f t="shared" si="5"/>
        <v>6.3478000000000003</v>
      </c>
      <c r="O24" s="51">
        <f t="shared" si="6"/>
        <v>12.757199999999999</v>
      </c>
      <c r="P24" s="51">
        <f t="shared" si="7"/>
        <v>4.2523999999999997</v>
      </c>
      <c r="Q24" s="51">
        <f t="shared" si="8"/>
        <v>10.631</v>
      </c>
      <c r="R24" s="51">
        <f t="shared" si="9"/>
        <v>6.3785999999999996</v>
      </c>
      <c r="S24" s="51">
        <f t="shared" si="10"/>
        <v>9.3552800000000005</v>
      </c>
      <c r="T24" s="51">
        <f t="shared" si="11"/>
        <v>7.6543199999999993</v>
      </c>
    </row>
    <row r="25" spans="2:27" x14ac:dyDescent="0.25">
      <c r="B25" s="54">
        <v>0.16</v>
      </c>
      <c r="C25" s="55">
        <f t="shared" si="0"/>
        <v>-8.8133333333333344</v>
      </c>
      <c r="D25" s="55">
        <f t="shared" si="1"/>
        <v>30.993333333333336</v>
      </c>
      <c r="E25" s="61">
        <v>0.16</v>
      </c>
      <c r="F25" s="62">
        <f t="shared" si="2"/>
        <v>-4.6133333333333333</v>
      </c>
      <c r="G25" s="62">
        <f t="shared" si="3"/>
        <v>22.543333333333333</v>
      </c>
      <c r="H25" s="1"/>
      <c r="I25" s="33"/>
      <c r="J25" s="33"/>
      <c r="L25">
        <v>0.4</v>
      </c>
      <c r="M25" s="51">
        <f t="shared" si="4"/>
        <v>8.2403999999999993</v>
      </c>
      <c r="N25" s="58">
        <f t="shared" si="5"/>
        <v>6.2093999999999996</v>
      </c>
      <c r="O25" s="51">
        <f t="shared" si="6"/>
        <v>12.360599999999998</v>
      </c>
      <c r="P25" s="51">
        <f t="shared" si="7"/>
        <v>4.1201999999999996</v>
      </c>
      <c r="Q25" s="51">
        <f t="shared" si="8"/>
        <v>10.3005</v>
      </c>
      <c r="R25" s="51">
        <f t="shared" si="9"/>
        <v>6.180299999999999</v>
      </c>
      <c r="S25" s="51">
        <f t="shared" si="10"/>
        <v>9.0644399999999994</v>
      </c>
      <c r="T25" s="51">
        <f t="shared" si="11"/>
        <v>7.4163599999999992</v>
      </c>
    </row>
    <row r="26" spans="2:27" x14ac:dyDescent="0.25">
      <c r="B26" s="54">
        <v>0.17</v>
      </c>
      <c r="C26" s="55">
        <f t="shared" si="0"/>
        <v>-9.3641666666666676</v>
      </c>
      <c r="D26" s="55">
        <f t="shared" si="1"/>
        <v>32.930416666666673</v>
      </c>
      <c r="E26" s="61">
        <v>0.17</v>
      </c>
      <c r="F26" s="62">
        <f t="shared" si="2"/>
        <v>-4.9016666666666664</v>
      </c>
      <c r="G26" s="62">
        <f t="shared" si="3"/>
        <v>23.952291666666667</v>
      </c>
      <c r="H26" s="1"/>
      <c r="I26" s="33"/>
      <c r="J26" s="33"/>
      <c r="L26" s="33">
        <v>0.5</v>
      </c>
      <c r="M26" s="51">
        <f t="shared" si="4"/>
        <v>7.976</v>
      </c>
      <c r="N26" s="58">
        <f t="shared" si="5"/>
        <v>6.0709999999999997</v>
      </c>
      <c r="O26" s="51">
        <f t="shared" si="6"/>
        <v>11.964</v>
      </c>
      <c r="P26" s="51">
        <f t="shared" si="7"/>
        <v>3.988</v>
      </c>
      <c r="Q26" s="51">
        <f t="shared" si="8"/>
        <v>9.9700000000000006</v>
      </c>
      <c r="R26" s="51">
        <f t="shared" si="9"/>
        <v>5.9820000000000002</v>
      </c>
      <c r="S26" s="51">
        <f t="shared" si="10"/>
        <v>8.7736000000000001</v>
      </c>
      <c r="T26" s="51">
        <f t="shared" si="11"/>
        <v>7.1783999999999999</v>
      </c>
    </row>
    <row r="27" spans="2:27" x14ac:dyDescent="0.25">
      <c r="B27" s="54">
        <v>0.18</v>
      </c>
      <c r="C27" s="55">
        <f t="shared" si="0"/>
        <v>-9.9149999999999991</v>
      </c>
      <c r="D27" s="55">
        <f t="shared" si="1"/>
        <v>34.8675</v>
      </c>
      <c r="E27" s="61">
        <v>0.18</v>
      </c>
      <c r="F27" s="62">
        <f t="shared" si="2"/>
        <v>-5.1899999999999995</v>
      </c>
      <c r="G27" s="62">
        <f t="shared" si="3"/>
        <v>25.361249999999998</v>
      </c>
      <c r="H27" s="1"/>
      <c r="I27" s="33"/>
      <c r="J27" s="33"/>
      <c r="L27">
        <v>0.6</v>
      </c>
      <c r="M27" s="51">
        <f t="shared" si="4"/>
        <v>7.7115999999999998</v>
      </c>
      <c r="N27" s="58">
        <f t="shared" si="5"/>
        <v>5.9325999999999999</v>
      </c>
      <c r="O27" s="51">
        <f t="shared" si="6"/>
        <v>11.567399999999999</v>
      </c>
      <c r="P27" s="51">
        <f t="shared" si="7"/>
        <v>3.8557999999999999</v>
      </c>
      <c r="Q27" s="51">
        <f t="shared" si="8"/>
        <v>9.6395</v>
      </c>
      <c r="R27" s="51">
        <f t="shared" si="9"/>
        <v>5.7836999999999996</v>
      </c>
      <c r="S27" s="51">
        <f t="shared" si="10"/>
        <v>8.4827600000000007</v>
      </c>
      <c r="T27" s="51">
        <f t="shared" si="11"/>
        <v>6.9404399999999997</v>
      </c>
    </row>
    <row r="28" spans="2:27" x14ac:dyDescent="0.25">
      <c r="B28" s="54">
        <v>0.19</v>
      </c>
      <c r="C28" s="55">
        <f t="shared" si="0"/>
        <v>-10.465833333333334</v>
      </c>
      <c r="D28" s="55">
        <f t="shared" si="1"/>
        <v>36.804583333333333</v>
      </c>
      <c r="E28" s="61">
        <v>0.19</v>
      </c>
      <c r="F28" s="62">
        <f t="shared" si="2"/>
        <v>-5.4783333333333326</v>
      </c>
      <c r="G28" s="62">
        <f t="shared" si="3"/>
        <v>26.770208333333333</v>
      </c>
      <c r="H28" s="1"/>
      <c r="I28" s="33"/>
      <c r="J28" s="33"/>
      <c r="L28">
        <v>0.7</v>
      </c>
      <c r="M28" s="51">
        <f t="shared" si="4"/>
        <v>7.4472000000000005</v>
      </c>
      <c r="N28" s="58">
        <f t="shared" si="5"/>
        <v>5.7942</v>
      </c>
      <c r="O28" s="51">
        <f t="shared" si="6"/>
        <v>11.1708</v>
      </c>
      <c r="P28" s="51">
        <f t="shared" si="7"/>
        <v>3.7236000000000002</v>
      </c>
      <c r="Q28" s="51">
        <f t="shared" si="8"/>
        <v>9.3090000000000011</v>
      </c>
      <c r="R28" s="51">
        <f t="shared" si="9"/>
        <v>5.5853999999999999</v>
      </c>
      <c r="S28" s="51">
        <f t="shared" si="10"/>
        <v>8.1919200000000014</v>
      </c>
      <c r="T28" s="51">
        <f t="shared" si="11"/>
        <v>6.7024800000000004</v>
      </c>
    </row>
    <row r="29" spans="2:27" x14ac:dyDescent="0.25">
      <c r="B29" s="54">
        <v>0.2</v>
      </c>
      <c r="C29" s="55">
        <f t="shared" si="0"/>
        <v>-11.016666666666667</v>
      </c>
      <c r="D29" s="55">
        <f t="shared" si="1"/>
        <v>38.741666666666667</v>
      </c>
      <c r="E29" s="61">
        <v>0.2</v>
      </c>
      <c r="F29" s="62">
        <f t="shared" si="2"/>
        <v>-5.7666666666666666</v>
      </c>
      <c r="G29" s="62">
        <f t="shared" si="3"/>
        <v>28.179166666666667</v>
      </c>
      <c r="H29" s="1"/>
      <c r="I29" s="33"/>
      <c r="J29" s="33"/>
      <c r="L29" s="33">
        <v>0.8</v>
      </c>
      <c r="M29" s="51">
        <f t="shared" si="4"/>
        <v>7.1828000000000003</v>
      </c>
      <c r="N29" s="58">
        <f t="shared" si="5"/>
        <v>5.6558000000000002</v>
      </c>
      <c r="O29" s="51">
        <f t="shared" si="6"/>
        <v>10.7742</v>
      </c>
      <c r="P29" s="51">
        <f t="shared" si="7"/>
        <v>3.5914000000000001</v>
      </c>
      <c r="Q29" s="51">
        <f t="shared" si="8"/>
        <v>8.9785000000000004</v>
      </c>
      <c r="R29" s="51">
        <f t="shared" si="9"/>
        <v>5.3871000000000002</v>
      </c>
      <c r="S29" s="51">
        <f t="shared" si="10"/>
        <v>7.9010800000000012</v>
      </c>
      <c r="T29" s="51">
        <f t="shared" si="11"/>
        <v>6.4645200000000003</v>
      </c>
    </row>
    <row r="30" spans="2:27" x14ac:dyDescent="0.25">
      <c r="B30" s="1"/>
      <c r="C30" s="33"/>
      <c r="D30" s="33"/>
      <c r="E30" s="1"/>
      <c r="F30" s="33"/>
      <c r="G30" s="33"/>
      <c r="L30">
        <v>0.9</v>
      </c>
      <c r="M30" s="51">
        <f t="shared" si="4"/>
        <v>6.9184000000000001</v>
      </c>
      <c r="N30" s="58">
        <f t="shared" si="5"/>
        <v>5.5174000000000003</v>
      </c>
      <c r="O30" s="51">
        <f t="shared" si="6"/>
        <v>10.377600000000001</v>
      </c>
      <c r="P30" s="51">
        <f t="shared" si="7"/>
        <v>3.4592000000000001</v>
      </c>
      <c r="Q30" s="51">
        <f t="shared" si="8"/>
        <v>8.6479999999999997</v>
      </c>
      <c r="R30" s="51">
        <f t="shared" si="9"/>
        <v>5.1888000000000005</v>
      </c>
      <c r="S30" s="51">
        <f t="shared" si="10"/>
        <v>7.610240000000001</v>
      </c>
      <c r="T30" s="51">
        <f t="shared" si="11"/>
        <v>6.2265600000000001</v>
      </c>
    </row>
    <row r="31" spans="2:27" x14ac:dyDescent="0.25">
      <c r="B31" s="1"/>
      <c r="C31" s="33"/>
      <c r="D31" s="33"/>
      <c r="E31" s="1"/>
      <c r="F31" s="33"/>
      <c r="G31" s="33"/>
      <c r="L31">
        <v>1</v>
      </c>
      <c r="M31" s="51">
        <f t="shared" si="4"/>
        <v>6.6539999999999999</v>
      </c>
      <c r="N31" s="58">
        <f t="shared" si="5"/>
        <v>5.3789999999999996</v>
      </c>
      <c r="O31" s="51">
        <f t="shared" si="6"/>
        <v>9.9809999999999999</v>
      </c>
      <c r="P31" s="51">
        <f t="shared" si="7"/>
        <v>3.327</v>
      </c>
      <c r="Q31" s="51">
        <f t="shared" si="8"/>
        <v>8.317499999999999</v>
      </c>
      <c r="R31" s="51">
        <f t="shared" si="9"/>
        <v>4.9904999999999999</v>
      </c>
      <c r="S31" s="51">
        <f t="shared" si="10"/>
        <v>7.3194000000000008</v>
      </c>
      <c r="T31" s="51">
        <f t="shared" si="11"/>
        <v>5.9885999999999999</v>
      </c>
    </row>
    <row r="32" spans="2:27" x14ac:dyDescent="0.25">
      <c r="L32" s="33">
        <v>1.1000000000000001</v>
      </c>
      <c r="M32" s="51">
        <f t="shared" si="4"/>
        <v>6.3895999999999997</v>
      </c>
      <c r="N32" s="58">
        <f t="shared" si="5"/>
        <v>5.2405999999999997</v>
      </c>
      <c r="O32" s="51">
        <f t="shared" si="6"/>
        <v>9.5843999999999987</v>
      </c>
      <c r="P32" s="51">
        <f t="shared" si="7"/>
        <v>3.1947999999999999</v>
      </c>
      <c r="Q32" s="51">
        <f t="shared" si="8"/>
        <v>7.9870000000000001</v>
      </c>
      <c r="R32" s="51">
        <f t="shared" si="9"/>
        <v>4.7921999999999993</v>
      </c>
      <c r="S32" s="51">
        <f t="shared" si="10"/>
        <v>7.0285600000000006</v>
      </c>
      <c r="T32" s="51">
        <f t="shared" si="11"/>
        <v>5.7506399999999998</v>
      </c>
    </row>
    <row r="35" spans="12:34" x14ac:dyDescent="0.25">
      <c r="L35" s="33"/>
    </row>
    <row r="47" spans="12:34" x14ac:dyDescent="0.25">
      <c r="O47" t="s">
        <v>666</v>
      </c>
      <c r="P47" t="s">
        <v>432</v>
      </c>
    </row>
    <row r="48" spans="12:34" x14ac:dyDescent="0.25">
      <c r="O48">
        <v>0.01</v>
      </c>
      <c r="P48">
        <v>0.02</v>
      </c>
      <c r="Q48">
        <v>0.03</v>
      </c>
      <c r="R48">
        <v>0.04</v>
      </c>
      <c r="S48">
        <v>0.05</v>
      </c>
      <c r="T48">
        <v>0.06</v>
      </c>
      <c r="U48">
        <v>7.0000000000000007E-2</v>
      </c>
      <c r="V48">
        <v>0.08</v>
      </c>
      <c r="W48">
        <v>0.09</v>
      </c>
      <c r="X48">
        <v>0.1</v>
      </c>
      <c r="Y48">
        <v>0.11</v>
      </c>
      <c r="Z48">
        <v>0.12</v>
      </c>
      <c r="AA48">
        <v>0.13</v>
      </c>
      <c r="AB48">
        <v>0.14000000000000001</v>
      </c>
      <c r="AC48">
        <v>0.15</v>
      </c>
      <c r="AD48">
        <v>0.16</v>
      </c>
      <c r="AE48">
        <v>0.17</v>
      </c>
      <c r="AF48">
        <v>0.18</v>
      </c>
      <c r="AG48">
        <v>0.19</v>
      </c>
      <c r="AH48">
        <v>0.2</v>
      </c>
    </row>
    <row r="49" spans="15:35" x14ac:dyDescent="0.25">
      <c r="O49">
        <v>-0.5508333333333334</v>
      </c>
      <c r="P49">
        <v>-1.1016666666666668</v>
      </c>
      <c r="Q49">
        <v>-1.6525000000000001</v>
      </c>
      <c r="R49">
        <v>-2.2033333333333336</v>
      </c>
      <c r="S49">
        <v>-2.7541666666666669</v>
      </c>
      <c r="T49">
        <v>-3.3050000000000002</v>
      </c>
      <c r="U49">
        <v>-3.8558333333333339</v>
      </c>
      <c r="V49">
        <v>-4.4066666666666672</v>
      </c>
      <c r="W49">
        <v>-4.9574999999999996</v>
      </c>
      <c r="X49">
        <v>-5.5083333333333337</v>
      </c>
      <c r="Y49">
        <v>-6.059166666666667</v>
      </c>
      <c r="Z49">
        <v>-6.61</v>
      </c>
      <c r="AA49">
        <v>-7.1608333333333336</v>
      </c>
      <c r="AB49">
        <v>-7.7116666666666678</v>
      </c>
      <c r="AC49">
        <v>-8.2624999999999993</v>
      </c>
      <c r="AD49">
        <v>-8.8133333333333344</v>
      </c>
      <c r="AE49">
        <v>-9.3641666666666676</v>
      </c>
      <c r="AF49">
        <v>-9.9149999999999991</v>
      </c>
      <c r="AG49">
        <v>-10.465833333333334</v>
      </c>
      <c r="AH49">
        <v>-11.016666666666667</v>
      </c>
    </row>
    <row r="50" spans="15:35" x14ac:dyDescent="0.25">
      <c r="O50">
        <v>1.9370833333333335</v>
      </c>
      <c r="P50">
        <v>3.874166666666667</v>
      </c>
      <c r="Q50">
        <v>5.8112499999999994</v>
      </c>
      <c r="R50">
        <v>7.748333333333334</v>
      </c>
      <c r="S50">
        <v>9.6854166666666668</v>
      </c>
      <c r="T50">
        <v>11.622499999999999</v>
      </c>
      <c r="U50">
        <v>13.559583333333336</v>
      </c>
      <c r="V50">
        <v>15.496666666666668</v>
      </c>
      <c r="W50">
        <v>17.43375</v>
      </c>
      <c r="X50">
        <v>19.370833333333334</v>
      </c>
      <c r="Y50">
        <v>21.307916666666667</v>
      </c>
      <c r="Z50">
        <v>23.244999999999997</v>
      </c>
      <c r="AA50">
        <v>25.182083333333335</v>
      </c>
      <c r="AB50">
        <v>27.119166666666672</v>
      </c>
      <c r="AC50">
        <v>29.056250000000002</v>
      </c>
      <c r="AD50">
        <v>30.993333333333336</v>
      </c>
      <c r="AE50">
        <v>32.930416666666673</v>
      </c>
      <c r="AF50">
        <v>34.8675</v>
      </c>
      <c r="AG50">
        <v>36.804583333333333</v>
      </c>
      <c r="AH50">
        <v>38.741666666666667</v>
      </c>
    </row>
    <row r="51" spans="15:35" x14ac:dyDescent="0.25">
      <c r="O51" t="s">
        <v>695</v>
      </c>
    </row>
    <row r="52" spans="15:35" x14ac:dyDescent="0.25">
      <c r="O52" s="43">
        <v>0.5</v>
      </c>
      <c r="P52">
        <v>0.01</v>
      </c>
      <c r="Q52">
        <v>0.02</v>
      </c>
      <c r="R52">
        <v>0.03</v>
      </c>
      <c r="S52">
        <v>0.04</v>
      </c>
      <c r="T52">
        <v>0.05</v>
      </c>
      <c r="U52">
        <v>0.06</v>
      </c>
      <c r="V52">
        <v>7.0000000000000007E-2</v>
      </c>
      <c r="W52">
        <v>0.08</v>
      </c>
      <c r="X52">
        <v>0.09</v>
      </c>
      <c r="Y52">
        <v>0.1</v>
      </c>
      <c r="Z52">
        <v>0.11</v>
      </c>
      <c r="AA52">
        <v>0.12</v>
      </c>
      <c r="AB52">
        <v>0.13</v>
      </c>
      <c r="AC52">
        <v>0.14000000000000001</v>
      </c>
      <c r="AD52">
        <v>0.15</v>
      </c>
      <c r="AE52">
        <v>0.16</v>
      </c>
      <c r="AF52">
        <v>0.17</v>
      </c>
      <c r="AG52">
        <v>0.18</v>
      </c>
      <c r="AH52">
        <v>0.19</v>
      </c>
      <c r="AI52">
        <v>0.2</v>
      </c>
    </row>
    <row r="53" spans="15:35" x14ac:dyDescent="0.25">
      <c r="P53">
        <v>-0.82625000000000004</v>
      </c>
      <c r="Q53">
        <v>-1.6525000000000001</v>
      </c>
      <c r="R53">
        <v>-2.4787499999999998</v>
      </c>
      <c r="S53">
        <v>-3.3050000000000002</v>
      </c>
      <c r="T53">
        <v>-4.1312500000000005</v>
      </c>
      <c r="U53">
        <v>-4.9574999999999996</v>
      </c>
      <c r="V53">
        <v>-5.7837500000000004</v>
      </c>
      <c r="W53">
        <v>-6.61</v>
      </c>
      <c r="X53">
        <v>-7.4362499999999994</v>
      </c>
      <c r="Y53">
        <v>-8.2625000000000011</v>
      </c>
      <c r="Z53">
        <v>-9.088750000000001</v>
      </c>
      <c r="AA53">
        <v>-9.9149999999999991</v>
      </c>
      <c r="AB53">
        <v>-10.741250000000001</v>
      </c>
      <c r="AC53">
        <v>-11.567500000000001</v>
      </c>
      <c r="AD53">
        <v>-12.393749999999999</v>
      </c>
      <c r="AE53">
        <v>-13.22</v>
      </c>
      <c r="AF53">
        <v>-14.046250000000001</v>
      </c>
      <c r="AG53">
        <v>-14.872499999999999</v>
      </c>
      <c r="AH53">
        <v>-15.698750000000002</v>
      </c>
      <c r="AI53">
        <v>-16.525000000000002</v>
      </c>
    </row>
    <row r="54" spans="15:35" x14ac:dyDescent="0.25">
      <c r="P54">
        <v>2.9056249999999997</v>
      </c>
      <c r="Q54">
        <v>5.8112499999999994</v>
      </c>
      <c r="R54">
        <v>8.7168749999999982</v>
      </c>
      <c r="S54">
        <v>11.622499999999999</v>
      </c>
      <c r="T54">
        <v>14.528125000000001</v>
      </c>
      <c r="U54">
        <v>17.433749999999996</v>
      </c>
      <c r="V54">
        <v>20.339375</v>
      </c>
      <c r="W54">
        <v>23.244999999999997</v>
      </c>
      <c r="X54">
        <v>26.150624999999998</v>
      </c>
      <c r="Y54">
        <v>29.056250000000002</v>
      </c>
      <c r="Z54">
        <v>31.961874999999996</v>
      </c>
      <c r="AA54">
        <v>34.867499999999993</v>
      </c>
      <c r="AB54">
        <v>37.773125</v>
      </c>
      <c r="AC54">
        <v>40.678750000000001</v>
      </c>
      <c r="AD54">
        <v>43.584375000000001</v>
      </c>
      <c r="AE54">
        <v>46.489999999999995</v>
      </c>
      <c r="AF54">
        <v>49.395624999999995</v>
      </c>
      <c r="AG54">
        <v>52.301249999999996</v>
      </c>
      <c r="AH54">
        <v>55.206874999999997</v>
      </c>
      <c r="AI54">
        <v>58.112500000000004</v>
      </c>
    </row>
    <row r="55" spans="15:35" x14ac:dyDescent="0.25">
      <c r="O55" t="s">
        <v>695</v>
      </c>
    </row>
    <row r="56" spans="15:35" x14ac:dyDescent="0.25">
      <c r="O56" s="43">
        <v>-0.5</v>
      </c>
      <c r="P56">
        <v>0.01</v>
      </c>
      <c r="Q56">
        <v>0.02</v>
      </c>
      <c r="R56">
        <v>0.03</v>
      </c>
      <c r="S56">
        <v>0.04</v>
      </c>
      <c r="T56">
        <v>0.05</v>
      </c>
      <c r="U56">
        <v>0.06</v>
      </c>
      <c r="V56">
        <v>7.0000000000000007E-2</v>
      </c>
      <c r="W56">
        <v>0.08</v>
      </c>
      <c r="X56">
        <v>0.09</v>
      </c>
      <c r="Y56">
        <v>0.1</v>
      </c>
      <c r="Z56">
        <v>0.11</v>
      </c>
      <c r="AA56">
        <v>0.12</v>
      </c>
      <c r="AB56">
        <v>0.13</v>
      </c>
      <c r="AC56">
        <v>0.14000000000000001</v>
      </c>
      <c r="AD56">
        <v>0.15</v>
      </c>
      <c r="AE56">
        <v>0.16</v>
      </c>
      <c r="AF56">
        <v>0.17</v>
      </c>
      <c r="AG56">
        <v>0.18</v>
      </c>
      <c r="AH56">
        <v>0.19</v>
      </c>
      <c r="AI56">
        <v>0.2</v>
      </c>
    </row>
    <row r="57" spans="15:35" x14ac:dyDescent="0.25">
      <c r="P57">
        <v>-0.2754166666666667</v>
      </c>
      <c r="Q57">
        <v>-0.5508333333333334</v>
      </c>
      <c r="R57">
        <v>-0.82625000000000004</v>
      </c>
      <c r="S57">
        <v>-1.1016666666666668</v>
      </c>
      <c r="T57">
        <v>-1.3770833333333334</v>
      </c>
      <c r="U57">
        <v>-1.6525000000000001</v>
      </c>
      <c r="V57">
        <v>-1.9279166666666669</v>
      </c>
      <c r="W57">
        <v>-2.2033333333333336</v>
      </c>
      <c r="X57">
        <v>-2.4787499999999998</v>
      </c>
      <c r="Y57">
        <v>-2.7541666666666669</v>
      </c>
      <c r="Z57">
        <v>-3.0295833333333335</v>
      </c>
      <c r="AA57">
        <v>-3.3050000000000002</v>
      </c>
      <c r="AB57">
        <v>-3.5804166666666668</v>
      </c>
      <c r="AC57">
        <v>-3.8558333333333339</v>
      </c>
      <c r="AD57">
        <v>-4.1312499999999996</v>
      </c>
      <c r="AE57">
        <v>-4.4066666666666672</v>
      </c>
      <c r="AF57">
        <v>-4.6820833333333338</v>
      </c>
      <c r="AG57">
        <v>-4.9574999999999996</v>
      </c>
      <c r="AH57">
        <v>-5.2329166666666671</v>
      </c>
      <c r="AI57">
        <v>-5.5083333333333337</v>
      </c>
    </row>
    <row r="58" spans="15:35" x14ac:dyDescent="0.25">
      <c r="P58">
        <v>0.96854166666666675</v>
      </c>
      <c r="Q58">
        <v>1.9370833333333335</v>
      </c>
      <c r="R58">
        <v>2.9056249999999997</v>
      </c>
      <c r="S58">
        <v>3.874166666666667</v>
      </c>
      <c r="T58">
        <v>4.8427083333333334</v>
      </c>
      <c r="U58">
        <v>5.8112499999999994</v>
      </c>
      <c r="V58">
        <v>6.779791666666668</v>
      </c>
      <c r="W58">
        <v>7.748333333333334</v>
      </c>
      <c r="X58">
        <v>8.7168749999999999</v>
      </c>
      <c r="Y58">
        <v>9.6854166666666668</v>
      </c>
      <c r="Z58">
        <v>10.653958333333334</v>
      </c>
      <c r="AA58">
        <v>11.622499999999999</v>
      </c>
      <c r="AB58">
        <v>12.591041666666667</v>
      </c>
      <c r="AC58">
        <v>13.559583333333336</v>
      </c>
      <c r="AD58">
        <v>14.528125000000001</v>
      </c>
      <c r="AE58">
        <v>15.496666666666668</v>
      </c>
      <c r="AF58">
        <v>16.465208333333337</v>
      </c>
      <c r="AG58">
        <v>17.43375</v>
      </c>
      <c r="AH58">
        <v>18.402291666666667</v>
      </c>
      <c r="AI58">
        <v>19.370833333333334</v>
      </c>
    </row>
    <row r="59" spans="15:35" x14ac:dyDescent="0.25">
      <c r="O59" t="s">
        <v>695</v>
      </c>
    </row>
    <row r="60" spans="15:35" x14ac:dyDescent="0.25">
      <c r="O60" s="43">
        <v>0.25</v>
      </c>
      <c r="P60">
        <v>0.01</v>
      </c>
      <c r="Q60">
        <v>0.02</v>
      </c>
      <c r="R60">
        <v>0.03</v>
      </c>
      <c r="S60">
        <v>0.04</v>
      </c>
      <c r="T60">
        <v>0.05</v>
      </c>
      <c r="U60">
        <v>0.06</v>
      </c>
      <c r="V60">
        <v>7.0000000000000007E-2</v>
      </c>
      <c r="W60">
        <v>0.08</v>
      </c>
      <c r="X60">
        <v>0.09</v>
      </c>
      <c r="Y60">
        <v>0.1</v>
      </c>
      <c r="Z60">
        <v>0.11</v>
      </c>
      <c r="AA60">
        <v>0.12</v>
      </c>
      <c r="AB60">
        <v>0.13</v>
      </c>
      <c r="AC60">
        <v>0.14000000000000001</v>
      </c>
      <c r="AD60">
        <v>0.15</v>
      </c>
      <c r="AE60">
        <v>0.16</v>
      </c>
      <c r="AF60">
        <v>0.17</v>
      </c>
      <c r="AG60">
        <v>0.18</v>
      </c>
      <c r="AH60">
        <v>0.19</v>
      </c>
      <c r="AI60">
        <v>0.2</v>
      </c>
    </row>
    <row r="61" spans="15:35" x14ac:dyDescent="0.25">
      <c r="P61" t="s">
        <v>700</v>
      </c>
      <c r="Q61" t="s">
        <v>701</v>
      </c>
      <c r="R61" t="s">
        <v>702</v>
      </c>
      <c r="S61" t="s">
        <v>703</v>
      </c>
      <c r="T61" t="s">
        <v>704</v>
      </c>
      <c r="U61" t="s">
        <v>705</v>
      </c>
      <c r="V61" t="s">
        <v>706</v>
      </c>
      <c r="W61" t="s">
        <v>707</v>
      </c>
      <c r="X61" t="s">
        <v>708</v>
      </c>
      <c r="Y61" t="s">
        <v>709</v>
      </c>
      <c r="Z61" t="s">
        <v>710</v>
      </c>
      <c r="AA61" t="s">
        <v>711</v>
      </c>
      <c r="AB61" t="s">
        <v>712</v>
      </c>
      <c r="AC61" t="s">
        <v>713</v>
      </c>
      <c r="AD61" t="s">
        <v>714</v>
      </c>
      <c r="AE61" t="s">
        <v>715</v>
      </c>
      <c r="AF61" t="s">
        <v>716</v>
      </c>
      <c r="AG61" t="s">
        <v>717</v>
      </c>
      <c r="AH61" t="s">
        <v>718</v>
      </c>
      <c r="AI61" t="s">
        <v>719</v>
      </c>
    </row>
    <row r="62" spans="15:35" x14ac:dyDescent="0.25">
      <c r="P62" t="s">
        <v>739</v>
      </c>
      <c r="Q62" t="s">
        <v>738</v>
      </c>
      <c r="R62" t="s">
        <v>737</v>
      </c>
      <c r="S62" t="s">
        <v>736</v>
      </c>
      <c r="T62" t="s">
        <v>735</v>
      </c>
      <c r="U62" t="s">
        <v>734</v>
      </c>
      <c r="V62" t="s">
        <v>733</v>
      </c>
      <c r="W62" t="s">
        <v>732</v>
      </c>
      <c r="X62" t="s">
        <v>731</v>
      </c>
      <c r="Y62" t="s">
        <v>730</v>
      </c>
      <c r="Z62" t="s">
        <v>729</v>
      </c>
      <c r="AA62" t="s">
        <v>728</v>
      </c>
      <c r="AB62" t="s">
        <v>727</v>
      </c>
      <c r="AC62" t="s">
        <v>726</v>
      </c>
      <c r="AD62" t="s">
        <v>725</v>
      </c>
      <c r="AE62" t="s">
        <v>724</v>
      </c>
      <c r="AF62" t="s">
        <v>723</v>
      </c>
      <c r="AG62" t="s">
        <v>722</v>
      </c>
      <c r="AH62" t="s">
        <v>721</v>
      </c>
      <c r="AI62" t="s">
        <v>720</v>
      </c>
    </row>
    <row r="63" spans="15:35" x14ac:dyDescent="0.25">
      <c r="O63" t="s">
        <v>695</v>
      </c>
    </row>
    <row r="64" spans="15:35" x14ac:dyDescent="0.25">
      <c r="O64" s="43">
        <v>-0.25</v>
      </c>
      <c r="P64">
        <v>0.01</v>
      </c>
      <c r="Q64">
        <v>0.02</v>
      </c>
      <c r="R64">
        <v>0.03</v>
      </c>
      <c r="S64">
        <v>0.04</v>
      </c>
      <c r="T64">
        <v>0.05</v>
      </c>
      <c r="U64">
        <v>0.06</v>
      </c>
      <c r="V64">
        <v>7.0000000000000007E-2</v>
      </c>
      <c r="W64">
        <v>0.08</v>
      </c>
      <c r="X64">
        <v>0.09</v>
      </c>
      <c r="Y64">
        <v>0.1</v>
      </c>
      <c r="Z64">
        <v>0.11</v>
      </c>
      <c r="AA64">
        <v>0.12</v>
      </c>
      <c r="AB64">
        <v>0.13</v>
      </c>
      <c r="AC64">
        <v>0.14000000000000001</v>
      </c>
      <c r="AD64">
        <v>0.15</v>
      </c>
      <c r="AE64">
        <v>0.16</v>
      </c>
      <c r="AF64">
        <v>0.17</v>
      </c>
      <c r="AG64">
        <v>0.18</v>
      </c>
      <c r="AH64">
        <v>0.19</v>
      </c>
      <c r="AI64">
        <v>0.2</v>
      </c>
    </row>
    <row r="65" spans="15:35" x14ac:dyDescent="0.25">
      <c r="P65" t="s">
        <v>757</v>
      </c>
      <c r="Q65" t="s">
        <v>758</v>
      </c>
      <c r="R65" t="s">
        <v>759</v>
      </c>
      <c r="S65" t="s">
        <v>760</v>
      </c>
      <c r="T65" t="s">
        <v>702</v>
      </c>
      <c r="U65" t="s">
        <v>761</v>
      </c>
      <c r="V65" t="s">
        <v>762</v>
      </c>
      <c r="W65" t="s">
        <v>763</v>
      </c>
      <c r="X65" t="s">
        <v>764</v>
      </c>
      <c r="Y65" t="s">
        <v>705</v>
      </c>
      <c r="Z65" t="s">
        <v>765</v>
      </c>
      <c r="AA65" t="s">
        <v>766</v>
      </c>
      <c r="AB65" t="s">
        <v>771</v>
      </c>
      <c r="AC65" t="s">
        <v>767</v>
      </c>
      <c r="AD65" t="s">
        <v>768</v>
      </c>
      <c r="AE65" t="s">
        <v>772</v>
      </c>
      <c r="AF65" t="s">
        <v>773</v>
      </c>
      <c r="AG65" t="s">
        <v>769</v>
      </c>
      <c r="AH65" t="s">
        <v>770</v>
      </c>
      <c r="AI65" t="s">
        <v>711</v>
      </c>
    </row>
    <row r="66" spans="15:35" x14ac:dyDescent="0.25">
      <c r="P66" t="s">
        <v>740</v>
      </c>
      <c r="Q66" t="s">
        <v>741</v>
      </c>
      <c r="R66" t="s">
        <v>742</v>
      </c>
      <c r="S66" t="s">
        <v>743</v>
      </c>
      <c r="T66" t="s">
        <v>737</v>
      </c>
      <c r="U66" t="s">
        <v>744</v>
      </c>
      <c r="V66" t="s">
        <v>745</v>
      </c>
      <c r="W66" t="s">
        <v>746</v>
      </c>
      <c r="X66" t="s">
        <v>747</v>
      </c>
      <c r="Y66" t="s">
        <v>734</v>
      </c>
      <c r="Z66" t="s">
        <v>748</v>
      </c>
      <c r="AA66" t="s">
        <v>749</v>
      </c>
      <c r="AB66" t="s">
        <v>750</v>
      </c>
      <c r="AC66" t="s">
        <v>751</v>
      </c>
      <c r="AD66" t="s">
        <v>752</v>
      </c>
      <c r="AE66" t="s">
        <v>694</v>
      </c>
      <c r="AF66" t="s">
        <v>753</v>
      </c>
      <c r="AG66" t="s">
        <v>754</v>
      </c>
      <c r="AH66" t="s">
        <v>755</v>
      </c>
      <c r="AI66" t="s">
        <v>756</v>
      </c>
    </row>
    <row r="67" spans="15:35" x14ac:dyDescent="0.25">
      <c r="O67" t="s">
        <v>695</v>
      </c>
      <c r="P67">
        <v>0.01</v>
      </c>
      <c r="Q67">
        <v>0.02</v>
      </c>
      <c r="R67">
        <v>0.03</v>
      </c>
      <c r="S67">
        <v>0.04</v>
      </c>
      <c r="T67">
        <v>0.05</v>
      </c>
      <c r="U67">
        <v>0.06</v>
      </c>
      <c r="V67">
        <v>7.0000000000000007E-2</v>
      </c>
      <c r="W67">
        <v>0.08</v>
      </c>
      <c r="X67">
        <v>0.09</v>
      </c>
      <c r="Y67">
        <v>0.1</v>
      </c>
      <c r="Z67">
        <v>0.11</v>
      </c>
      <c r="AA67">
        <v>0.12</v>
      </c>
      <c r="AB67">
        <v>0.13</v>
      </c>
      <c r="AC67">
        <v>0.14000000000000001</v>
      </c>
      <c r="AD67">
        <v>0.15</v>
      </c>
      <c r="AE67">
        <v>0.16</v>
      </c>
      <c r="AF67">
        <v>0.17</v>
      </c>
      <c r="AG67">
        <v>0.18</v>
      </c>
      <c r="AH67">
        <v>0.19</v>
      </c>
      <c r="AI67">
        <v>0.2</v>
      </c>
    </row>
    <row r="68" spans="15:35" x14ac:dyDescent="0.25">
      <c r="O68" s="43">
        <v>0.1</v>
      </c>
      <c r="P68" t="s">
        <v>774</v>
      </c>
      <c r="Q68" t="s">
        <v>775</v>
      </c>
      <c r="R68" t="s">
        <v>776</v>
      </c>
      <c r="S68" t="s">
        <v>777</v>
      </c>
      <c r="T68" t="s">
        <v>778</v>
      </c>
      <c r="U68" t="s">
        <v>779</v>
      </c>
      <c r="V68" t="s">
        <v>780</v>
      </c>
      <c r="W68" t="s">
        <v>781</v>
      </c>
      <c r="X68" t="s">
        <v>782</v>
      </c>
      <c r="Y68" t="s">
        <v>783</v>
      </c>
      <c r="Z68" t="s">
        <v>784</v>
      </c>
      <c r="AA68" t="s">
        <v>785</v>
      </c>
      <c r="AB68" t="s">
        <v>786</v>
      </c>
      <c r="AC68" t="s">
        <v>787</v>
      </c>
      <c r="AD68" t="s">
        <v>789</v>
      </c>
      <c r="AE68" t="s">
        <v>788</v>
      </c>
      <c r="AF68" t="s">
        <v>790</v>
      </c>
      <c r="AG68" t="s">
        <v>791</v>
      </c>
      <c r="AH68" t="s">
        <v>792</v>
      </c>
      <c r="AI68" t="s">
        <v>793</v>
      </c>
    </row>
    <row r="69" spans="15:35" x14ac:dyDescent="0.25">
      <c r="P69" t="s">
        <v>813</v>
      </c>
      <c r="Q69" t="s">
        <v>812</v>
      </c>
      <c r="R69" t="s">
        <v>811</v>
      </c>
      <c r="S69" t="s">
        <v>810</v>
      </c>
      <c r="T69" t="s">
        <v>809</v>
      </c>
      <c r="U69" t="s">
        <v>808</v>
      </c>
      <c r="V69" t="s">
        <v>807</v>
      </c>
      <c r="W69" t="s">
        <v>806</v>
      </c>
      <c r="X69" t="s">
        <v>805</v>
      </c>
      <c r="Y69" t="s">
        <v>804</v>
      </c>
      <c r="Z69" t="s">
        <v>803</v>
      </c>
      <c r="AA69" t="s">
        <v>802</v>
      </c>
      <c r="AB69" t="s">
        <v>801</v>
      </c>
      <c r="AC69" t="s">
        <v>800</v>
      </c>
      <c r="AD69" t="s">
        <v>799</v>
      </c>
      <c r="AE69" t="s">
        <v>798</v>
      </c>
      <c r="AF69" t="s">
        <v>797</v>
      </c>
      <c r="AG69" t="s">
        <v>796</v>
      </c>
      <c r="AH69" t="s">
        <v>795</v>
      </c>
      <c r="AI69" t="s">
        <v>794</v>
      </c>
    </row>
    <row r="70" spans="15:35" x14ac:dyDescent="0.25">
      <c r="O70" t="s">
        <v>695</v>
      </c>
      <c r="P70">
        <v>0.01</v>
      </c>
      <c r="Q70">
        <v>0.02</v>
      </c>
      <c r="R70">
        <v>0.03</v>
      </c>
      <c r="S70">
        <v>0.04</v>
      </c>
      <c r="T70">
        <v>0.05</v>
      </c>
      <c r="U70">
        <v>0.06</v>
      </c>
      <c r="V70">
        <v>7.0000000000000007E-2</v>
      </c>
      <c r="W70">
        <v>0.08</v>
      </c>
      <c r="X70">
        <v>0.09</v>
      </c>
      <c r="Y70">
        <v>0.1</v>
      </c>
      <c r="Z70">
        <v>0.11</v>
      </c>
      <c r="AA70">
        <v>0.12</v>
      </c>
      <c r="AB70">
        <v>0.13</v>
      </c>
      <c r="AC70">
        <v>0.14000000000000001</v>
      </c>
      <c r="AD70">
        <v>0.15</v>
      </c>
      <c r="AE70">
        <v>0.16</v>
      </c>
      <c r="AF70">
        <v>0.17</v>
      </c>
      <c r="AG70">
        <v>0.18</v>
      </c>
      <c r="AH70">
        <v>0.19</v>
      </c>
      <c r="AI70">
        <v>0.2</v>
      </c>
    </row>
    <row r="71" spans="15:35" x14ac:dyDescent="0.25">
      <c r="O71" s="43">
        <v>-0.1</v>
      </c>
      <c r="P71" t="s">
        <v>830</v>
      </c>
      <c r="Q71" t="s">
        <v>831</v>
      </c>
      <c r="R71" t="s">
        <v>832</v>
      </c>
      <c r="S71" t="s">
        <v>833</v>
      </c>
      <c r="T71" t="s">
        <v>761</v>
      </c>
      <c r="U71" t="s">
        <v>834</v>
      </c>
      <c r="V71" t="s">
        <v>835</v>
      </c>
      <c r="W71" t="s">
        <v>836</v>
      </c>
      <c r="X71" t="s">
        <v>837</v>
      </c>
      <c r="Y71" t="s">
        <v>766</v>
      </c>
      <c r="Z71" t="s">
        <v>782</v>
      </c>
      <c r="AA71" t="s">
        <v>838</v>
      </c>
      <c r="AB71" t="s">
        <v>839</v>
      </c>
      <c r="AC71" t="s">
        <v>840</v>
      </c>
      <c r="AD71" t="s">
        <v>769</v>
      </c>
      <c r="AE71" t="s">
        <v>841</v>
      </c>
      <c r="AF71" t="s">
        <v>842</v>
      </c>
      <c r="AG71" t="s">
        <v>845</v>
      </c>
      <c r="AH71" t="s">
        <v>843</v>
      </c>
      <c r="AI71" t="s">
        <v>844</v>
      </c>
    </row>
    <row r="72" spans="15:35" x14ac:dyDescent="0.25">
      <c r="O72" t="s">
        <v>432</v>
      </c>
      <c r="P72" t="s">
        <v>814</v>
      </c>
      <c r="Q72" t="s">
        <v>815</v>
      </c>
      <c r="R72" t="s">
        <v>816</v>
      </c>
      <c r="S72" t="s">
        <v>817</v>
      </c>
      <c r="T72" t="s">
        <v>744</v>
      </c>
      <c r="U72" t="s">
        <v>818</v>
      </c>
      <c r="V72" t="s">
        <v>819</v>
      </c>
      <c r="W72" t="s">
        <v>820</v>
      </c>
      <c r="X72" t="s">
        <v>821</v>
      </c>
      <c r="Y72" t="s">
        <v>749</v>
      </c>
      <c r="Z72" t="s">
        <v>805</v>
      </c>
      <c r="AA72" t="s">
        <v>822</v>
      </c>
      <c r="AB72" t="s">
        <v>823</v>
      </c>
      <c r="AC72" t="s">
        <v>824</v>
      </c>
      <c r="AD72" t="s">
        <v>754</v>
      </c>
      <c r="AE72" t="s">
        <v>825</v>
      </c>
      <c r="AF72" t="s">
        <v>826</v>
      </c>
      <c r="AG72" t="s">
        <v>827</v>
      </c>
      <c r="AH72" t="s">
        <v>828</v>
      </c>
      <c r="AI72" t="s">
        <v>829</v>
      </c>
    </row>
    <row r="78" spans="15:35" x14ac:dyDescent="0.25"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</row>
    <row r="79" spans="15:35" x14ac:dyDescent="0.25"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  <c r="AG79" s="33"/>
      <c r="AH79" s="33"/>
    </row>
    <row r="80" spans="15:35" x14ac:dyDescent="0.25"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33"/>
      <c r="AG80" s="33"/>
      <c r="AH80" s="33"/>
    </row>
    <row r="81" spans="15:34" x14ac:dyDescent="0.25"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</row>
    <row r="82" spans="15:34" x14ac:dyDescent="0.25"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33"/>
      <c r="AG82" s="33"/>
      <c r="AH82" s="33"/>
    </row>
    <row r="83" spans="15:34" x14ac:dyDescent="0.25"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33"/>
      <c r="AG83" s="33"/>
      <c r="AH83" s="33"/>
    </row>
  </sheetData>
  <phoneticPr fontId="22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DataS4</vt:lpstr>
      <vt:lpstr>model</vt:lpstr>
      <vt:lpstr>model balance</vt:lpstr>
      <vt:lpstr>MRE_parameters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Carlson, Ross</dc:creator>
  <cp:lastModifiedBy>Carlson, Ross</cp:lastModifiedBy>
  <dcterms:created xsi:type="dcterms:W3CDTF">2023-04-15T21:00:53Z</dcterms:created>
  <dcterms:modified xsi:type="dcterms:W3CDTF">2026-05-08T18:22:39Z</dcterms:modified>
</cp:coreProperties>
</file>